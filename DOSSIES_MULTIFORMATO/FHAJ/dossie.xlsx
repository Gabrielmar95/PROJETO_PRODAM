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FHAJ</t>
        </is>
      </c>
    </row>
    <row r="3">
      <c r="A3" t="inlineStr">
        <is>
          <t>nome_completo</t>
        </is>
      </c>
      <c r="B3" t="inlineStr">
        <is>
          <t>Fundação Hospitalar Adriano Jorge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06.168.092/0001-08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PROTOCOLAR_PETICAO</t>
        </is>
      </c>
    </row>
    <row r="8">
      <c r="A8" t="inlineStr">
        <is>
          <t>val_exig</t>
        </is>
      </c>
      <c r="B8" t="inlineStr">
        <is>
          <t>259910.7790577516</t>
        </is>
      </c>
    </row>
    <row r="9">
      <c r="A9" t="inlineStr">
        <is>
          <t>val_atualizado</t>
        </is>
      </c>
      <c r="B9" t="inlineStr">
        <is>
          <t>493519.1295001625</t>
        </is>
      </c>
    </row>
    <row r="10">
      <c r="A10" t="inlineStr">
        <is>
          <t>faturas_exigiveis</t>
        </is>
      </c>
      <c r="B10" t="inlineStr">
        <is>
          <t>34</t>
        </is>
      </c>
    </row>
    <row r="11">
      <c r="A11" t="inlineStr">
        <is>
          <t>faturas_prescritas</t>
        </is>
      </c>
      <c r="B11" t="inlineStr">
        <is>
          <t>41</t>
        </is>
      </c>
    </row>
    <row r="12">
      <c r="A12" t="inlineStr">
        <is>
          <t>p_recuperacao</t>
        </is>
      </c>
      <c r="B12" t="inlineStr">
        <is>
          <t>0.83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2020NE01910</t>
        </is>
      </c>
      <c r="B2" t="inlineStr"/>
      <c r="C2" t="inlineStr">
        <is>
          <t>31/12/2020</t>
        </is>
      </c>
      <c r="D2" t="n">
        <v>249.22</v>
      </c>
      <c r="E2" t="inlineStr">
        <is>
          <t>Ativo</t>
        </is>
      </c>
      <c r="F2" t="inlineStr">
        <is>
          <t>Anulação do saldo da NE00004/2020, conforme Decreto nº 43.042/2020 - Encerramento da execução orçamentária, financeira e contábil do exercício de 2020.</t>
        </is>
      </c>
    </row>
    <row r="3">
      <c r="A3" t="inlineStr">
        <is>
          <t>2020NE01911</t>
        </is>
      </c>
      <c r="B3" t="inlineStr"/>
      <c r="C3" t="inlineStr">
        <is>
          <t>31/12/2020</t>
        </is>
      </c>
      <c r="D3" t="n">
        <v>1.83</v>
      </c>
      <c r="E3" t="inlineStr">
        <is>
          <t>Ativo</t>
        </is>
      </c>
      <c r="F3" t="inlineStr">
        <is>
          <t>Anulação do saldo da NE00819/2020, conforme Decreto nº 43.042/2020 - Encerramento da execução orçamentária, financeira e contábil do exercício de 2020.</t>
        </is>
      </c>
    </row>
    <row r="4">
      <c r="A4" t="inlineStr">
        <is>
          <t>2019NE00921</t>
        </is>
      </c>
      <c r="B4" t="inlineStr">
        <is>
          <t>1/2018</t>
        </is>
      </c>
      <c r="C4" t="inlineStr">
        <is>
          <t>31/07/2019</t>
        </is>
      </c>
      <c r="D4" t="n">
        <v>49.18</v>
      </c>
      <c r="E4" t="inlineStr">
        <is>
          <t>Ativo</t>
        </is>
      </c>
      <c r="F4" t="inlineStr">
        <is>
          <t>Referente ao CT nº 001/2018-FHAJ de serviço de confecção de páginas eletrônicas. Parcela referente à Janeiro/19. Troca de Fonte conforme solicitação do FES em 18/07/2019, NC nº 5954/19.</t>
        </is>
      </c>
    </row>
    <row r="5">
      <c r="A5" t="inlineStr">
        <is>
          <t>2023NE0000423</t>
        </is>
      </c>
      <c r="B5" t="inlineStr">
        <is>
          <t>8/2022</t>
        </is>
      </c>
      <c r="C5" t="inlineStr">
        <is>
          <t>31/03/2023</t>
        </is>
      </c>
      <c r="D5" t="n">
        <v>308.54</v>
      </c>
      <c r="E5" t="inlineStr">
        <is>
          <t>Ativo</t>
        </is>
      </c>
      <c r="F5" t="inlineStr">
        <is>
          <t>Referente ao CT 008/2022-FHAJ, serviços de acesso à Internet banda larga, com Ip dedicado. Período: abril/2023 (parcial).</t>
        </is>
      </c>
    </row>
    <row r="6">
      <c r="A6" t="inlineStr">
        <is>
          <t>2017NE00275</t>
        </is>
      </c>
      <c r="B6" t="inlineStr">
        <is>
          <t>P.144/2016</t>
        </is>
      </c>
      <c r="C6" t="inlineStr">
        <is>
          <t>31/03/2017</t>
        </is>
      </c>
      <c r="D6" t="n">
        <v>3400</v>
      </c>
      <c r="E6" t="inlineStr">
        <is>
          <t>Ativo</t>
        </is>
      </c>
      <c r="F6" t="inlineStr">
        <is>
          <t>Indenizações, Parecer Jurídico nº 40/2017-ASJUR/FHAJ, Termo de Ajuste de Contas nº 14/2017-FHAJ, referente a prestação de serviço de acesso gerenciado a rede mundial - por Mbps (de 1até 10 Mbps) - (5,</t>
        </is>
      </c>
    </row>
    <row r="7">
      <c r="A7" t="inlineStr">
        <is>
          <t>2017NE00274</t>
        </is>
      </c>
      <c r="B7" t="inlineStr">
        <is>
          <t>P.144/2016</t>
        </is>
      </c>
      <c r="C7" t="inlineStr">
        <is>
          <t>31/03/2017</t>
        </is>
      </c>
      <c r="D7" t="n">
        <v>3400</v>
      </c>
      <c r="E7" t="inlineStr">
        <is>
          <t>Ativo</t>
        </is>
      </c>
      <c r="F7" t="inlineStr">
        <is>
          <t xml:space="preserve">Indenizações, Parecer Jurídico nº 39/2017-FHAJ, Termo de Ajuste de Contas nº 13/2017-FHAJ, referente a prestação de serviço de acesso gerenciado a rede mundial - por Mbps (de 1até 10 Mbps) - (5,000 x </t>
        </is>
      </c>
    </row>
    <row r="8">
      <c r="A8" t="inlineStr">
        <is>
          <t>2016NE01311</t>
        </is>
      </c>
      <c r="B8" t="inlineStr"/>
      <c r="C8" t="inlineStr">
        <is>
          <t>30/12/2016</t>
        </is>
      </c>
      <c r="D8" t="n">
        <v>1.72</v>
      </c>
      <c r="E8" t="inlineStr">
        <is>
          <t>Ativo</t>
        </is>
      </c>
      <c r="F8" t="inlineStr">
        <is>
          <t>ANULAÇÃO PARCIAL DA NE 075/2016 PARA AJUSTE ORÇAMENTÁRIO, CONF. ORIENTAÇÃO SEFAZ-AM.</t>
        </is>
      </c>
    </row>
    <row r="9">
      <c r="A9" t="inlineStr">
        <is>
          <t>2016NE01325</t>
        </is>
      </c>
      <c r="B9" t="inlineStr"/>
      <c r="C9" t="inlineStr">
        <is>
          <t>30/12/2016</t>
        </is>
      </c>
      <c r="D9" t="n">
        <v>11.57</v>
      </c>
      <c r="E9" t="inlineStr">
        <is>
          <t>Ativo</t>
        </is>
      </c>
      <c r="F9" t="inlineStr">
        <is>
          <t>Anulação do saldo da NE 200/2016 em atendimento ao Aviso n. 02/2017 e Comunicação nr. 13 de 15/12/2016 - SEFAZ-AM</t>
        </is>
      </c>
    </row>
    <row r="10">
      <c r="A10" t="inlineStr">
        <is>
          <t>2021NE0001155</t>
        </is>
      </c>
      <c r="B10" t="inlineStr">
        <is>
          <t>1/2018</t>
        </is>
      </c>
      <c r="C10" t="inlineStr">
        <is>
          <t>30/08/2021</t>
        </is>
      </c>
      <c r="D10" t="n">
        <v>1678.44</v>
      </c>
      <c r="E10" t="inlineStr">
        <is>
          <t>Ativo</t>
        </is>
      </c>
      <c r="F10" t="inlineStr">
        <is>
          <t>3º TA ao CT nº 001/2018-FHAJ de serviço de confecção de páginas eletrônicas. Período: Setembro/2021 (parcial).</t>
        </is>
      </c>
    </row>
    <row r="11">
      <c r="A11" t="inlineStr">
        <is>
          <t>2025NE0000385</t>
        </is>
      </c>
      <c r="B11" t="inlineStr">
        <is>
          <t>4/2024</t>
        </is>
      </c>
      <c r="C11" t="inlineStr">
        <is>
          <t>30/04/2025</t>
        </is>
      </c>
      <c r="D11" t="n">
        <v>2717.66</v>
      </c>
      <c r="E11" t="inlineStr">
        <is>
          <t>Ativo</t>
        </is>
      </c>
      <c r="F11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2">
      <c r="A12" t="inlineStr">
        <is>
          <t>2025NE0000386</t>
        </is>
      </c>
      <c r="B12" t="inlineStr">
        <is>
          <t>8/2022</t>
        </is>
      </c>
      <c r="C12" t="inlineStr">
        <is>
          <t>30/04/2025</t>
        </is>
      </c>
      <c r="D12" t="n">
        <v>9256.1</v>
      </c>
      <c r="E12" t="inlineStr">
        <is>
          <t>Ativo</t>
        </is>
      </c>
      <c r="F12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3">
      <c r="A13" t="inlineStr">
        <is>
          <t>2019NE00338</t>
        </is>
      </c>
      <c r="B13" t="inlineStr">
        <is>
          <t>1/2018</t>
        </is>
      </c>
      <c r="C13" t="inlineStr">
        <is>
          <t>30/04/2019</t>
        </is>
      </c>
      <c r="D13" t="n">
        <v>1623.56</v>
      </c>
      <c r="E13" t="inlineStr">
        <is>
          <t>Ativo</t>
        </is>
      </c>
      <c r="F13" t="inlineStr">
        <is>
          <t>1º TA ao CT nº 001/2018-FHAJ de serviço de confecção de páginas eletrônicas.</t>
        </is>
      </c>
    </row>
    <row r="14">
      <c r="A14" t="inlineStr">
        <is>
          <t>2022NE0000551</t>
        </is>
      </c>
      <c r="B14" t="inlineStr">
        <is>
          <t>8/2022</t>
        </is>
      </c>
      <c r="C14" t="inlineStr">
        <is>
          <t>30/03/2022</t>
        </is>
      </c>
      <c r="D14" t="n">
        <v>7525.43</v>
      </c>
      <c r="E14" t="inlineStr">
        <is>
          <t>Ativo</t>
        </is>
      </c>
      <c r="F14" t="inlineStr">
        <is>
          <t>Referente ao CT 008/2022-FHAJ, serviços de acesso à Internet banda larga, com Ip dedicado; Período: Abril/2022.</t>
        </is>
      </c>
    </row>
    <row r="15">
      <c r="A15" t="inlineStr">
        <is>
          <t>2023NE0000104</t>
        </is>
      </c>
      <c r="B15" t="inlineStr">
        <is>
          <t>1/2018</t>
        </is>
      </c>
      <c r="C15" t="inlineStr">
        <is>
          <t>30/01/2023</t>
        </is>
      </c>
      <c r="D15" t="n">
        <v>2297.09</v>
      </c>
      <c r="E15" t="inlineStr">
        <is>
          <t>Ativo</t>
        </is>
      </c>
      <c r="F15" t="inlineStr">
        <is>
          <t>Referente ao 5º TA ao CT 001/2018-FHAJ, serviços de disponibilidade de gestor de conteúdo WEB (Publicações padrão Governo). Período: fevereiro/2023.</t>
        </is>
      </c>
    </row>
    <row r="16">
      <c r="A16" t="inlineStr">
        <is>
          <t>2022NE0002504</t>
        </is>
      </c>
      <c r="B16" t="inlineStr"/>
      <c r="C16" t="inlineStr">
        <is>
          <t>29/12/2022</t>
        </is>
      </c>
      <c r="D16" t="n">
        <v>5.93</v>
      </c>
      <c r="E16" t="inlineStr">
        <is>
          <t>Ativo</t>
        </is>
      </c>
      <c r="F16" t="inlineStr">
        <is>
          <t>Anulação de saldo da NE22/2022, devido o encerramento do exercício.</t>
        </is>
      </c>
    </row>
    <row r="17">
      <c r="A17" t="inlineStr">
        <is>
          <t>2023NE0001622</t>
        </is>
      </c>
      <c r="B17" t="inlineStr"/>
      <c r="C17" t="inlineStr">
        <is>
          <t>29/11/2023</t>
        </is>
      </c>
      <c r="D17" t="n">
        <v>2225.17</v>
      </c>
      <c r="E17" t="inlineStr">
        <is>
          <t>Ativo</t>
        </is>
      </c>
      <c r="F17" t="inlineStr">
        <is>
          <t>ANULAÇÃO DE SALDO DE EMPENHO , EM VIRTUDE DO ENCERRAMENTO DO EXECÍCIO, CONFORME DECRETO Nº 48.363/2023 DE 27/10/2023.</t>
        </is>
      </c>
    </row>
    <row r="18">
      <c r="A18" t="inlineStr">
        <is>
          <t>2023NE0001684</t>
        </is>
      </c>
      <c r="B18" t="inlineStr"/>
      <c r="C18" t="inlineStr">
        <is>
          <t>29/11/2023</t>
        </is>
      </c>
      <c r="D18" t="n">
        <v>308.54</v>
      </c>
      <c r="E18" t="inlineStr">
        <is>
          <t>Ativo</t>
        </is>
      </c>
      <c r="F18" t="inlineStr">
        <is>
          <t>ANULAÇÃO DE SALDO DE EMPENHO, EM VIRTUDE DO ENCERRAMENTO DO EXERCÍCIO, CONFORME DECRETO Nº 48.363/2023 DE 27/10/2023.</t>
        </is>
      </c>
    </row>
    <row r="19">
      <c r="A19" t="inlineStr">
        <is>
          <t>2023NE0001677</t>
        </is>
      </c>
      <c r="B19" t="inlineStr"/>
      <c r="C19" t="inlineStr">
        <is>
          <t>29/11/2023</t>
        </is>
      </c>
      <c r="D19" t="n">
        <v>8111.66</v>
      </c>
      <c r="E19" t="inlineStr">
        <is>
          <t>Ativo</t>
        </is>
      </c>
      <c r="F19" t="inlineStr">
        <is>
          <t>ANULAÇÃO DE SALDO DE EMPENHO , EM VIRTUDE DO ENCERRAMENTO DO EXERCÍCIO, CONFORME DECRETO Nº 48.363/2023 DE 27/10/2023.</t>
        </is>
      </c>
    </row>
    <row r="20">
      <c r="A20" t="inlineStr">
        <is>
          <t>2025NE0001330</t>
        </is>
      </c>
      <c r="B20" t="inlineStr"/>
      <c r="C20" t="inlineStr">
        <is>
          <t>29/10/2025</t>
        </is>
      </c>
      <c r="D20" t="n">
        <v>2297.09</v>
      </c>
      <c r="E20" t="inlineStr">
        <is>
          <t>Ativo</t>
        </is>
      </c>
      <c r="F20" t="inlineStr">
        <is>
          <t>Anulação da NE 1212/2025, lançamento indevido.</t>
        </is>
      </c>
    </row>
    <row r="21">
      <c r="A21" t="inlineStr">
        <is>
          <t>2014NE00640</t>
        </is>
      </c>
      <c r="B21" t="inlineStr">
        <is>
          <t>12/2010</t>
        </is>
      </c>
      <c r="C21" t="inlineStr">
        <is>
          <t>29/07/2014</t>
        </is>
      </c>
      <c r="D21" t="n">
        <v>9895.27</v>
      </c>
      <c r="E21" t="inlineStr">
        <is>
          <t>Ativo</t>
        </is>
      </c>
      <c r="F21" t="inlineStr">
        <is>
          <t>Contrato No. 12/2010 - Internet/Computador banda 3.256Kb-MetroMAO</t>
        </is>
      </c>
    </row>
    <row r="22">
      <c r="A22" t="inlineStr">
        <is>
          <t>2023NE0000761</t>
        </is>
      </c>
      <c r="B22" t="inlineStr">
        <is>
          <t>8/2022</t>
        </is>
      </c>
      <c r="C22" t="inlineStr">
        <is>
          <t>29/06/2023</t>
        </is>
      </c>
      <c r="D22" t="n">
        <v>8420.200000000001</v>
      </c>
      <c r="E22" t="inlineStr">
        <is>
          <t>Ativo</t>
        </is>
      </c>
      <c r="F22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23">
      <c r="A23" t="inlineStr">
        <is>
          <t>2023NE0000760</t>
        </is>
      </c>
      <c r="B23" t="inlineStr">
        <is>
          <t>1/2018</t>
        </is>
      </c>
      <c r="C23" t="inlineStr">
        <is>
          <t>29/06/2023</t>
        </is>
      </c>
      <c r="D23" t="n">
        <v>2297.09</v>
      </c>
      <c r="E23" t="inlineStr">
        <is>
          <t>Ativo</t>
        </is>
      </c>
      <c r="F23" t="inlineStr">
        <is>
          <t xml:space="preserve">Contratação de empresa especializada nos serviços de Sistema de Informação, compreendendo a disponibilização de Gestor de Conteúdo WEB, para publicação de inf., noticias, videos e imagens via WEBSITE </t>
        </is>
      </c>
    </row>
    <row r="24">
      <c r="A24" t="inlineStr">
        <is>
          <t>2018NE01512</t>
        </is>
      </c>
      <c r="B24" t="inlineStr"/>
      <c r="C24" t="inlineStr">
        <is>
          <t>28/12/2018</t>
        </is>
      </c>
      <c r="D24" t="n">
        <v>49.18</v>
      </c>
      <c r="E24" t="inlineStr">
        <is>
          <t>Ativo</t>
        </is>
      </c>
      <c r="F24" t="inlineStr">
        <is>
          <t>Anulação do saldo da NE00063/2018, conforme orientação da Gerência de Inspetoria da Sefaz, para o encerramento do exercício financeiro de 2018.</t>
        </is>
      </c>
    </row>
    <row r="25">
      <c r="A25" t="inlineStr">
        <is>
          <t>2018NE01496</t>
        </is>
      </c>
      <c r="B25" t="inlineStr"/>
      <c r="C25" t="inlineStr">
        <is>
          <t>28/12/2018</t>
        </is>
      </c>
      <c r="D25" t="n">
        <v>0.02</v>
      </c>
      <c r="E25" t="inlineStr">
        <is>
          <t>Ativo</t>
        </is>
      </c>
      <c r="F25" t="inlineStr">
        <is>
          <t>Anulação do saldo da NE00182/2018, conforme orientação da Gerência de Inspetoria da Sefaz, para o encerramento do exercício financeiro de 2018.</t>
        </is>
      </c>
    </row>
    <row r="26">
      <c r="A26" t="inlineStr">
        <is>
          <t>2014NE00747</t>
        </is>
      </c>
      <c r="B26" t="inlineStr">
        <is>
          <t>12/2010</t>
        </is>
      </c>
      <c r="C26" t="inlineStr">
        <is>
          <t>28/08/2014</t>
        </is>
      </c>
      <c r="D26" t="n">
        <v>9895.27</v>
      </c>
      <c r="E26" t="inlineStr">
        <is>
          <t>Ativo</t>
        </is>
      </c>
      <c r="F26" t="inlineStr">
        <is>
          <t>Contrato No. 12/2010 - Internet/Computador banda 3.256Kb-MetroMAO</t>
        </is>
      </c>
    </row>
    <row r="27">
      <c r="A27" t="inlineStr">
        <is>
          <t>2019NE00619</t>
        </is>
      </c>
      <c r="B27" t="inlineStr">
        <is>
          <t>1/2018</t>
        </is>
      </c>
      <c r="C27" t="inlineStr">
        <is>
          <t>28/06/2019</t>
        </is>
      </c>
      <c r="D27" t="n">
        <v>1623.56</v>
      </c>
      <c r="E27" t="inlineStr">
        <is>
          <t>Ativo</t>
        </is>
      </c>
      <c r="F27" t="inlineStr">
        <is>
          <t>1º TA ao CT nº 001/2018-FHAJ de serviço de confecção de páginas eletrônicas. junho/2019.</t>
        </is>
      </c>
    </row>
    <row r="28">
      <c r="A28" t="inlineStr">
        <is>
          <t>2022NE0000764</t>
        </is>
      </c>
      <c r="B28" t="inlineStr">
        <is>
          <t>1/2018</t>
        </is>
      </c>
      <c r="C28" t="inlineStr">
        <is>
          <t>28/04/2022</t>
        </is>
      </c>
      <c r="D28" t="n">
        <v>2157.7</v>
      </c>
      <c r="E28" t="inlineStr">
        <is>
          <t>Ativo</t>
        </is>
      </c>
      <c r="F28" t="inlineStr">
        <is>
          <t>Referente ao 4º TA ao CT 001/2018-FHAJ, serviços de disponibilidade de gestor de conteúdo WEB (Publicações padrão Governo). Período: abril/2022.</t>
        </is>
      </c>
    </row>
    <row r="29">
      <c r="A29" t="inlineStr">
        <is>
          <t>2021NE0001154</t>
        </is>
      </c>
      <c r="B29" t="inlineStr">
        <is>
          <t>9/2017</t>
        </is>
      </c>
      <c r="C29" t="inlineStr">
        <is>
          <t>27/08/2021</t>
        </is>
      </c>
      <c r="D29" t="n">
        <v>7457.56</v>
      </c>
      <c r="E29" t="inlineStr">
        <is>
          <t>Ativo</t>
        </is>
      </c>
      <c r="F29" t="inlineStr">
        <is>
          <t>4º TA ao CT 009/2017, contratação de empresa especializada para prestação de serviços de acesso à internet Banda Larga com IP dedicado, com velocidade de 35 Mbps. Período: Setembro/2021.</t>
        </is>
      </c>
    </row>
    <row r="30">
      <c r="A30" t="inlineStr">
        <is>
          <t>2023NE0000756</t>
        </is>
      </c>
      <c r="B30" t="inlineStr">
        <is>
          <t>1/2018</t>
        </is>
      </c>
      <c r="C30" t="inlineStr">
        <is>
          <t>27/06/2023</t>
        </is>
      </c>
      <c r="D30" t="n">
        <v>2297.09</v>
      </c>
      <c r="E30" t="inlineStr">
        <is>
          <t>Ativo</t>
        </is>
      </c>
      <c r="F30" t="inlineStr">
        <is>
          <t xml:space="preserve">Contratação de empresa especializada nos serviços de Sistema de Informação, compreendendo a disponibilização de Gestor de Conteúdo WEB, para publicação de inf., noticias, videos e imagens via WEBSITE </t>
        </is>
      </c>
    </row>
    <row r="31">
      <c r="A31" t="inlineStr">
        <is>
          <t>2023NE0000757</t>
        </is>
      </c>
      <c r="B31" t="inlineStr">
        <is>
          <t>8/2022</t>
        </is>
      </c>
      <c r="C31" t="inlineStr">
        <is>
          <t>27/06/2023</t>
        </is>
      </c>
      <c r="D31" t="n">
        <v>8111.66</v>
      </c>
      <c r="E31" t="inlineStr">
        <is>
          <t>Ativo</t>
        </is>
      </c>
      <c r="F31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32">
      <c r="A32" t="inlineStr">
        <is>
          <t>2026NE0000115</t>
        </is>
      </c>
      <c r="B32" t="inlineStr">
        <is>
          <t>8/2022</t>
        </is>
      </c>
      <c r="C32" t="inlineStr">
        <is>
          <t>27/02/2026</t>
        </is>
      </c>
      <c r="D32" t="n">
        <v>9256</v>
      </c>
      <c r="E32" t="inlineStr">
        <is>
          <t>Ativo</t>
        </is>
      </c>
      <c r="F32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33">
      <c r="A33" t="inlineStr">
        <is>
          <t>2026NE0000114</t>
        </is>
      </c>
      <c r="B33" t="inlineStr">
        <is>
          <t>8/2022</t>
        </is>
      </c>
      <c r="C33" t="inlineStr">
        <is>
          <t>27/02/2026</t>
        </is>
      </c>
      <c r="D33" t="n">
        <v>9256</v>
      </c>
      <c r="E33" t="inlineStr">
        <is>
          <t>Ativo</t>
        </is>
      </c>
      <c r="F33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34">
      <c r="A34" t="inlineStr">
        <is>
          <t>2018NE00182</t>
        </is>
      </c>
      <c r="B34" t="inlineStr">
        <is>
          <t>9/2017</t>
        </is>
      </c>
      <c r="C34" t="inlineStr">
        <is>
          <t>27/02/2018</t>
        </is>
      </c>
      <c r="D34" t="n">
        <v>6800</v>
      </c>
      <c r="E34" t="inlineStr">
        <is>
          <t>Ativo</t>
        </is>
      </c>
      <c r="F34" t="inlineStr">
        <is>
          <t>Contrato de iinternet - CT 009/2017</t>
        </is>
      </c>
    </row>
    <row r="35">
      <c r="A35" t="inlineStr">
        <is>
          <t>2021NE0001757</t>
        </is>
      </c>
      <c r="B35" t="inlineStr">
        <is>
          <t>9/2017</t>
        </is>
      </c>
      <c r="C35" t="inlineStr">
        <is>
          <t>26/11/2021</t>
        </is>
      </c>
      <c r="D35" t="n">
        <v>7457.56</v>
      </c>
      <c r="E35" t="inlineStr">
        <is>
          <t>Ativo</t>
        </is>
      </c>
      <c r="F35" t="inlineStr">
        <is>
          <t>4º TA ao CT 009/2017, contratação de empresa especializada para prestação de serviços de acesso à internet Banda Larga com IP dedicado, com velocidade de 35 Mbps. Período: novembro/2021.</t>
        </is>
      </c>
    </row>
    <row r="36">
      <c r="A36" t="inlineStr">
        <is>
          <t>2021NE0001760</t>
        </is>
      </c>
      <c r="B36" t="inlineStr">
        <is>
          <t>1/2018</t>
        </is>
      </c>
      <c r="C36" t="inlineStr">
        <is>
          <t>26/11/2021</t>
        </is>
      </c>
      <c r="D36" t="n">
        <v>1979.55</v>
      </c>
      <c r="E36" t="inlineStr">
        <is>
          <t>Ativo</t>
        </is>
      </c>
      <c r="F36" t="inlineStr">
        <is>
          <t>3º TA ao CT nº 001/2018-FHAJ de serviço de confecção de páginas eletrônicas. Período: novembro/2021.</t>
        </is>
      </c>
    </row>
    <row r="37">
      <c r="A37" t="inlineStr">
        <is>
          <t>2023NE0001349</t>
        </is>
      </c>
      <c r="B37" t="inlineStr">
        <is>
          <t>8/2022</t>
        </is>
      </c>
      <c r="C37" t="inlineStr">
        <is>
          <t>26/09/2023</t>
        </is>
      </c>
      <c r="D37" t="n">
        <v>8420.200000000001</v>
      </c>
      <c r="E37" t="inlineStr">
        <is>
          <t>Ativo</t>
        </is>
      </c>
      <c r="F37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38">
      <c r="A38" t="inlineStr">
        <is>
          <t>2023NE0001350</t>
        </is>
      </c>
      <c r="B38" t="inlineStr">
        <is>
          <t>1/2018</t>
        </is>
      </c>
      <c r="C38" t="inlineStr">
        <is>
          <t>26/09/2023</t>
        </is>
      </c>
      <c r="D38" t="n">
        <v>2297.09</v>
      </c>
      <c r="E38" t="inlineStr">
        <is>
          <t>Ativo</t>
        </is>
      </c>
      <c r="F38" t="inlineStr">
        <is>
          <t xml:space="preserve">Contratação de empresa especializada nos serviços de Sistema de Informação, compreendendo a disponibilização de Gestor de Conteúdo WEB, para publicação de inf., noticias, videos e imagens via WEBSITE </t>
        </is>
      </c>
    </row>
    <row r="39">
      <c r="A39" t="inlineStr">
        <is>
          <t>2018NE00739</t>
        </is>
      </c>
      <c r="B39" t="inlineStr">
        <is>
          <t>9/2017</t>
        </is>
      </c>
      <c r="C39" t="inlineStr">
        <is>
          <t>26/07/2018</t>
        </is>
      </c>
      <c r="D39" t="n">
        <v>1666.67</v>
      </c>
      <c r="E39" t="inlineStr">
        <is>
          <t>Ativo</t>
        </is>
      </c>
      <c r="F39" t="inlineStr">
        <is>
          <t>1. Termo Aditivo ao Contrato 09/2017 - Internet banda larga - Março/2018</t>
        </is>
      </c>
    </row>
    <row r="40">
      <c r="A40" t="inlineStr">
        <is>
          <t>2018NE00738</t>
        </is>
      </c>
      <c r="B40" t="inlineStr"/>
      <c r="C40" t="inlineStr">
        <is>
          <t>26/07/2018</t>
        </is>
      </c>
      <c r="D40" t="n">
        <v>1133.35</v>
      </c>
      <c r="E40" t="inlineStr">
        <is>
          <t>Ativo</t>
        </is>
      </c>
      <c r="F40" t="inlineStr">
        <is>
          <t>Contrato 09/2017 - 01 a 05/03/2018 Internet Banda Larga</t>
        </is>
      </c>
    </row>
    <row r="41">
      <c r="A41" t="inlineStr">
        <is>
          <t>2018NE00711</t>
        </is>
      </c>
      <c r="B41" t="inlineStr"/>
      <c r="C41" t="inlineStr">
        <is>
          <t>25/07/2018</t>
        </is>
      </c>
      <c r="D41" t="n">
        <v>6800</v>
      </c>
      <c r="E41" t="inlineStr">
        <is>
          <t>Ativo</t>
        </is>
      </c>
      <c r="F41" t="inlineStr">
        <is>
          <t>Anulação da NE 182. Motivo: Economicidade Contratual</t>
        </is>
      </c>
    </row>
    <row r="42">
      <c r="A42" t="inlineStr">
        <is>
          <t>2024NE0000527</t>
        </is>
      </c>
      <c r="B42" t="inlineStr">
        <is>
          <t>8/2022</t>
        </is>
      </c>
      <c r="C42" t="inlineStr">
        <is>
          <t>25/04/2024</t>
        </is>
      </c>
      <c r="D42" t="n">
        <v>9256.1</v>
      </c>
      <c r="E42" t="inlineStr">
        <is>
          <t>Ativo</t>
        </is>
      </c>
      <c r="F42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43">
      <c r="A43" t="inlineStr">
        <is>
          <t>2020NE00491</t>
        </is>
      </c>
      <c r="B43" t="inlineStr">
        <is>
          <t>1/2018</t>
        </is>
      </c>
      <c r="C43" t="inlineStr">
        <is>
          <t>25/03/2020</t>
        </is>
      </c>
      <c r="D43" t="n">
        <v>1623.56</v>
      </c>
      <c r="E43" t="inlineStr">
        <is>
          <t>Ativo</t>
        </is>
      </c>
      <c r="F43" t="inlineStr">
        <is>
          <t>2º TA ao CT nº 001/2018-FHAJ de serviço de confecção de páginas eletrônicas. Período: Complemento de março e parcial de abril/2020.</t>
        </is>
      </c>
    </row>
    <row r="44">
      <c r="A44" t="inlineStr">
        <is>
          <t>2026NE0000104</t>
        </is>
      </c>
      <c r="B44" t="inlineStr">
        <is>
          <t>8/2022</t>
        </is>
      </c>
      <c r="C44" t="inlineStr">
        <is>
          <t>25/02/2026</t>
        </is>
      </c>
      <c r="D44" t="n">
        <v>9256.1</v>
      </c>
      <c r="E44" t="inlineStr">
        <is>
          <t>Ativo</t>
        </is>
      </c>
      <c r="F44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45">
      <c r="A45" t="inlineStr">
        <is>
          <t>2026NE0000109</t>
        </is>
      </c>
      <c r="B45" t="inlineStr">
        <is>
          <t>4/2024</t>
        </is>
      </c>
      <c r="C45" t="inlineStr">
        <is>
          <t>25/02/2026</t>
        </is>
      </c>
      <c r="D45" t="n">
        <v>2717.66</v>
      </c>
      <c r="E45" t="inlineStr">
        <is>
          <t>Ativo</t>
        </is>
      </c>
      <c r="F45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46">
      <c r="A46" t="inlineStr">
        <is>
          <t>2026NE0000107</t>
        </is>
      </c>
      <c r="B46" t="inlineStr">
        <is>
          <t>4/2024</t>
        </is>
      </c>
      <c r="C46" t="inlineStr">
        <is>
          <t>25/02/2026</t>
        </is>
      </c>
      <c r="D46" t="n">
        <v>2717.66</v>
      </c>
      <c r="E46" t="inlineStr">
        <is>
          <t>Ativo</t>
        </is>
      </c>
      <c r="F46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47">
      <c r="A47" t="inlineStr">
        <is>
          <t>2026NE0000108</t>
        </is>
      </c>
      <c r="B47" t="inlineStr">
        <is>
          <t>4/2024</t>
        </is>
      </c>
      <c r="C47" t="inlineStr">
        <is>
          <t>25/02/2026</t>
        </is>
      </c>
      <c r="D47" t="n">
        <v>2717.66</v>
      </c>
      <c r="E47" t="inlineStr">
        <is>
          <t>Ativo</t>
        </is>
      </c>
      <c r="F47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48">
      <c r="A48" t="inlineStr">
        <is>
          <t>2026NE0000106</t>
        </is>
      </c>
      <c r="B48" t="inlineStr">
        <is>
          <t>8/2022</t>
        </is>
      </c>
      <c r="C48" t="inlineStr">
        <is>
          <t>25/02/2026</t>
        </is>
      </c>
      <c r="D48" t="n">
        <v>9256</v>
      </c>
      <c r="E48" t="inlineStr">
        <is>
          <t>Ativo</t>
        </is>
      </c>
      <c r="F48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49">
      <c r="A49" t="inlineStr">
        <is>
          <t>2026NE0000111</t>
        </is>
      </c>
      <c r="B49" t="inlineStr">
        <is>
          <t>4/2024</t>
        </is>
      </c>
      <c r="C49" t="inlineStr">
        <is>
          <t>25/02/2026</t>
        </is>
      </c>
      <c r="D49" t="n">
        <v>2717.66</v>
      </c>
      <c r="E49" t="inlineStr">
        <is>
          <t>Ativo</t>
        </is>
      </c>
      <c r="F49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50">
      <c r="A50" t="inlineStr">
        <is>
          <t>2026NE0000105</t>
        </is>
      </c>
      <c r="B50" t="inlineStr">
        <is>
          <t>8/2022</t>
        </is>
      </c>
      <c r="C50" t="inlineStr">
        <is>
          <t>25/02/2026</t>
        </is>
      </c>
      <c r="D50" t="n">
        <v>9256.1</v>
      </c>
      <c r="E50" t="inlineStr">
        <is>
          <t>Ativo</t>
        </is>
      </c>
      <c r="F50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51">
      <c r="A51" t="inlineStr">
        <is>
          <t>2026NE0000110</t>
        </is>
      </c>
      <c r="B51" t="inlineStr">
        <is>
          <t>4/2024</t>
        </is>
      </c>
      <c r="C51" t="inlineStr">
        <is>
          <t>25/02/2026</t>
        </is>
      </c>
      <c r="D51" t="n">
        <v>2717.66</v>
      </c>
      <c r="E51" t="inlineStr">
        <is>
          <t>Ativo</t>
        </is>
      </c>
      <c r="F51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52">
      <c r="A52" t="inlineStr">
        <is>
          <t>2025NE0001099</t>
        </is>
      </c>
      <c r="B52" t="inlineStr">
        <is>
          <t>4/2024</t>
        </is>
      </c>
      <c r="C52" t="inlineStr">
        <is>
          <t>24/09/2025</t>
        </is>
      </c>
      <c r="D52" t="n">
        <v>2717.66</v>
      </c>
      <c r="E52" t="inlineStr">
        <is>
          <t>Ativo</t>
        </is>
      </c>
      <c r="F52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53">
      <c r="A53" t="inlineStr">
        <is>
          <t>2023NE0000380</t>
        </is>
      </c>
      <c r="B53" t="inlineStr">
        <is>
          <t>1/2018</t>
        </is>
      </c>
      <c r="C53" t="inlineStr">
        <is>
          <t>24/03/2023</t>
        </is>
      </c>
      <c r="D53" t="n">
        <v>2297.09</v>
      </c>
      <c r="E53" t="inlineStr">
        <is>
          <t>Ativo</t>
        </is>
      </c>
      <c r="F53" t="inlineStr">
        <is>
          <t>Referente ao 5º TA ao CT 001/2018-FHAJ, serviços de disponibilidade de gestor de conteúdo WEB (Publicações padrão Governo). Período: Março/2023.</t>
        </is>
      </c>
    </row>
    <row r="54">
      <c r="A54" t="inlineStr">
        <is>
          <t>2014NE00177</t>
        </is>
      </c>
      <c r="B54" t="inlineStr">
        <is>
          <t>4/2012</t>
        </is>
      </c>
      <c r="C54" t="inlineStr">
        <is>
          <t>24/02/2014</t>
        </is>
      </c>
      <c r="D54" t="n">
        <v>3988.1</v>
      </c>
      <c r="E54" t="inlineStr">
        <is>
          <t>Ativo</t>
        </is>
      </c>
      <c r="F54" t="inlineStr">
        <is>
          <t>Contrato No. 4/2012 - Manutenção Sist Senhas- SICS</t>
        </is>
      </c>
    </row>
    <row r="55">
      <c r="A55" t="inlineStr">
        <is>
          <t>2025NE0001068</t>
        </is>
      </c>
      <c r="B55" t="inlineStr">
        <is>
          <t>4/2024</t>
        </is>
      </c>
      <c r="C55" t="inlineStr">
        <is>
          <t>23/09/2025</t>
        </is>
      </c>
      <c r="D55" t="n">
        <v>2717.66</v>
      </c>
      <c r="E55" t="inlineStr">
        <is>
          <t>Ativo</t>
        </is>
      </c>
      <c r="F55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56">
      <c r="A56" t="inlineStr">
        <is>
          <t>2025NE0001069</t>
        </is>
      </c>
      <c r="B56" t="inlineStr">
        <is>
          <t>4/2024</t>
        </is>
      </c>
      <c r="C56" t="inlineStr">
        <is>
          <t>23/09/2025</t>
        </is>
      </c>
      <c r="D56" t="n">
        <v>1261.99</v>
      </c>
      <c r="E56" t="inlineStr">
        <is>
          <t>Ativo</t>
        </is>
      </c>
      <c r="F56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57">
      <c r="A57" t="inlineStr">
        <is>
          <t>2021NE0000738</t>
        </is>
      </c>
      <c r="B57" t="inlineStr">
        <is>
          <t>1/2018</t>
        </is>
      </c>
      <c r="C57" t="inlineStr">
        <is>
          <t>23/06/2021</t>
        </is>
      </c>
      <c r="D57" t="n">
        <v>3356.88</v>
      </c>
      <c r="E57" t="inlineStr">
        <is>
          <t>Ativo</t>
        </is>
      </c>
      <c r="F57" t="inlineStr">
        <is>
          <t>3º TA ao CT nº 001/2018-FHAJ de serviço de confecção de páginas eletrônicas. Período: maio e junho/2021 (parcial).</t>
        </is>
      </c>
    </row>
    <row r="58">
      <c r="A58" t="inlineStr">
        <is>
          <t>2021NE0000737</t>
        </is>
      </c>
      <c r="B58" t="inlineStr">
        <is>
          <t>9/2017</t>
        </is>
      </c>
      <c r="C58" t="inlineStr">
        <is>
          <t>23/06/2021</t>
        </is>
      </c>
      <c r="D58" t="n">
        <v>14915.52</v>
      </c>
      <c r="E58" t="inlineStr">
        <is>
          <t>Ativo</t>
        </is>
      </c>
      <c r="F58" t="inlineStr">
        <is>
          <t>4º TA ao CT 009/2017, contratação de empresa especializada para prestação de serviços de acesso à internet Banda Larga com IP dedicado, com velocidade de 35 Mbps. Período: maio e junho/2021.</t>
        </is>
      </c>
    </row>
    <row r="59">
      <c r="A59" t="inlineStr">
        <is>
          <t>2016NE00485</t>
        </is>
      </c>
      <c r="B59" t="inlineStr">
        <is>
          <t>4/2012</t>
        </is>
      </c>
      <c r="C59" t="inlineStr">
        <is>
          <t>23/06/2016</t>
        </is>
      </c>
      <c r="D59" t="n">
        <v>398.81</v>
      </c>
      <c r="E59" t="inlineStr">
        <is>
          <t>Ativo</t>
        </is>
      </c>
      <c r="F59" t="inlineStr">
        <is>
          <t>Referente ao 4. Termo aditivo ao Contrato 004/2012-FHAJ, contratação de empresa especializada em serviço de implantação de software.</t>
        </is>
      </c>
    </row>
    <row r="60">
      <c r="A60" t="inlineStr">
        <is>
          <t>2024NE0000209</t>
        </is>
      </c>
      <c r="B60" t="inlineStr">
        <is>
          <t>8/2022</t>
        </is>
      </c>
      <c r="C60" t="inlineStr">
        <is>
          <t>23/02/2024</t>
        </is>
      </c>
      <c r="D60" t="n">
        <v>835.9</v>
      </c>
      <c r="E60" t="inlineStr">
        <is>
          <t>Ativo</t>
        </is>
      </c>
      <c r="F60">
        <f> Prestação de serviços de acesso à Internet Banda Larga, com IP dedicado, com velocidade de 37 Mbps; = 1º Termo Aditivo ao Contrato nº 008/2022-FHAJ; = Vigência: 01/04/2023 a 31/03/2024. (Diferença)</f>
        <v/>
      </c>
    </row>
    <row r="61">
      <c r="A61" t="inlineStr">
        <is>
          <t>2018NE00147</t>
        </is>
      </c>
      <c r="B61" t="inlineStr">
        <is>
          <t>1/2018</t>
        </is>
      </c>
      <c r="C61" t="inlineStr">
        <is>
          <t>23/02/2018</t>
        </is>
      </c>
      <c r="D61" t="n">
        <v>1475.29</v>
      </c>
      <c r="E61" t="inlineStr">
        <is>
          <t>Ativo</t>
        </is>
      </c>
      <c r="F61" t="inlineStr">
        <is>
          <t>CONTRATAÇÃO DE PESSOA JURÍDICA ESPECIALIZADA EM SERVIÇOS DE INFORMÁTICA, COMPR. À DISPONIBILIZAÇÃO DE GESTOR DE CONTEÚDO WEB, PARA PUBLICAÇÃO DE INFORMAÇÕES, NOTÍCIAS, VÍDEOS E IMAGENS VIA WEBSITE, DE</t>
        </is>
      </c>
    </row>
    <row r="62">
      <c r="A62" t="inlineStr">
        <is>
          <t>2024NE0001758</t>
        </is>
      </c>
      <c r="B62" t="inlineStr">
        <is>
          <t>4/2024</t>
        </is>
      </c>
      <c r="C62" t="inlineStr">
        <is>
          <t>22/11/2024</t>
        </is>
      </c>
      <c r="D62" t="n">
        <v>2297.09</v>
      </c>
      <c r="E62" t="inlineStr">
        <is>
          <t>Ativo</t>
        </is>
      </c>
      <c r="F62" t="inlineStr">
        <is>
          <t>referente à Nota Fiscal nº 47528, de 12.08.2024, no valor total de R$ 2.297,09 (dois mil, duzentos e noventa e sete reais e nove centavos), em consequência da prestação de serviços de Licença de Uso d</t>
        </is>
      </c>
    </row>
    <row r="63">
      <c r="A63" t="inlineStr">
        <is>
          <t>2024NE0001766</t>
        </is>
      </c>
      <c r="B63" t="inlineStr">
        <is>
          <t>8/2022</t>
        </is>
      </c>
      <c r="C63" t="inlineStr">
        <is>
          <t>22/11/2024</t>
        </is>
      </c>
      <c r="D63" t="n">
        <v>9256.1</v>
      </c>
      <c r="E63" t="inlineStr">
        <is>
          <t>Ativo</t>
        </is>
      </c>
      <c r="F63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64">
      <c r="A64" t="inlineStr">
        <is>
          <t>2024NE0001757</t>
        </is>
      </c>
      <c r="B64" t="inlineStr">
        <is>
          <t>4/2024</t>
        </is>
      </c>
      <c r="C64" t="inlineStr">
        <is>
          <t>22/11/2024</t>
        </is>
      </c>
      <c r="D64" t="n">
        <v>2297.09</v>
      </c>
      <c r="E64" t="inlineStr">
        <is>
          <t>Ativo</t>
        </is>
      </c>
      <c r="F64" t="inlineStr">
        <is>
          <t>referente à Nota Fiscal nº 47527, de 12.08.2024, no valor de R$ 2.297,09 (dois mil, duzentos e noventa e sete reais e nove centavos), em consequência da prestação de serviços de Licença de Uso de Sist</t>
        </is>
      </c>
    </row>
    <row r="65">
      <c r="A65" t="inlineStr">
        <is>
          <t>2024NE0001756</t>
        </is>
      </c>
      <c r="B65" t="inlineStr">
        <is>
          <t>4/2024</t>
        </is>
      </c>
      <c r="C65" t="inlineStr">
        <is>
          <t>22/11/2024</t>
        </is>
      </c>
      <c r="D65" t="n">
        <v>2297.09</v>
      </c>
      <c r="E65" t="inlineStr">
        <is>
          <t>Ativo</t>
        </is>
      </c>
      <c r="F65" t="inlineStr">
        <is>
          <t>referente à Nota Fiscal nº 47526, de 12.08.2024, no valor total de R$ 2.297,09 (dois mil, duzentos e noventa e sete reais e nove centavos), em consequência da prestação de serviços de Licença de Uso d</t>
        </is>
      </c>
    </row>
    <row r="66">
      <c r="A66" t="inlineStr">
        <is>
          <t>2023NE0001096</t>
        </is>
      </c>
      <c r="B66" t="inlineStr">
        <is>
          <t>1/2018</t>
        </is>
      </c>
      <c r="C66" t="inlineStr">
        <is>
          <t>22/08/2023</t>
        </is>
      </c>
      <c r="D66" t="n">
        <v>2297.09</v>
      </c>
      <c r="E66" t="inlineStr">
        <is>
          <t>Ativo</t>
        </is>
      </c>
      <c r="F66" t="inlineStr">
        <is>
          <t xml:space="preserve">Contratação de empresa especializada nos serviços de Sistema de Informação, compreendendo a disponibilização de Gestor de Conteúdo WEB, para publicação de inf., noticias, videos e imagens via WEBSITE </t>
        </is>
      </c>
    </row>
    <row r="67">
      <c r="A67" t="inlineStr">
        <is>
          <t>2023NE0001095</t>
        </is>
      </c>
      <c r="B67" t="inlineStr">
        <is>
          <t>8/2022</t>
        </is>
      </c>
      <c r="C67" t="inlineStr">
        <is>
          <t>22/08/2023</t>
        </is>
      </c>
      <c r="D67" t="n">
        <v>8420.200000000001</v>
      </c>
      <c r="E67" t="inlineStr">
        <is>
          <t>Ativo</t>
        </is>
      </c>
      <c r="F67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68">
      <c r="A68" t="inlineStr">
        <is>
          <t>2022NE0001234</t>
        </is>
      </c>
      <c r="B68" t="inlineStr">
        <is>
          <t>1/2018</t>
        </is>
      </c>
      <c r="C68" t="inlineStr">
        <is>
          <t>22/07/2022</t>
        </is>
      </c>
      <c r="D68" t="n">
        <v>2157.7</v>
      </c>
      <c r="E68" t="inlineStr">
        <is>
          <t>Ativo</t>
        </is>
      </c>
      <c r="F68" t="inlineStr">
        <is>
          <t>Referente ao 4º TA ao CT 001/2018-FHAJ, serviços de disponibilidade de gestor de conteúdo WEB (Publicações padrão Governo). Período: junho/2022.</t>
        </is>
      </c>
    </row>
    <row r="69">
      <c r="A69" t="inlineStr">
        <is>
          <t>2022NE0001235</t>
        </is>
      </c>
      <c r="B69" t="inlineStr">
        <is>
          <t>8/2022</t>
        </is>
      </c>
      <c r="C69" t="inlineStr">
        <is>
          <t>22/07/2022</t>
        </is>
      </c>
      <c r="D69" t="n">
        <v>7525.43</v>
      </c>
      <c r="E69" t="inlineStr">
        <is>
          <t>Ativo</t>
        </is>
      </c>
      <c r="F69" t="inlineStr">
        <is>
          <t>Referente ao CT 008/2022-FHAJ, serviços de acesso à Internet banda larga, com Ip dedicado. Período: junho/2022.</t>
        </is>
      </c>
    </row>
    <row r="70">
      <c r="A70" t="inlineStr">
        <is>
          <t>2025NE0000463</t>
        </is>
      </c>
      <c r="B70" t="inlineStr">
        <is>
          <t>4/2024</t>
        </is>
      </c>
      <c r="C70" t="inlineStr">
        <is>
          <t>22/05/2025</t>
        </is>
      </c>
      <c r="D70" t="n">
        <v>2717.66</v>
      </c>
      <c r="E70" t="inlineStr">
        <is>
          <t>Ativo</t>
        </is>
      </c>
      <c r="F70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71">
      <c r="A71" t="inlineStr">
        <is>
          <t>2025NE0000462</t>
        </is>
      </c>
      <c r="B71" t="inlineStr">
        <is>
          <t>8/2022</t>
        </is>
      </c>
      <c r="C71" t="inlineStr">
        <is>
          <t>22/05/2025</t>
        </is>
      </c>
      <c r="D71" t="n">
        <v>9256.1</v>
      </c>
      <c r="E71" t="inlineStr">
        <is>
          <t>Ativo</t>
        </is>
      </c>
      <c r="F71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72">
      <c r="A72" t="inlineStr">
        <is>
          <t>2024NE0000645</t>
        </is>
      </c>
      <c r="B72" t="inlineStr">
        <is>
          <t>8/2022</t>
        </is>
      </c>
      <c r="C72" t="inlineStr">
        <is>
          <t>22/05/2024</t>
        </is>
      </c>
      <c r="D72" t="n">
        <v>9256.1</v>
      </c>
      <c r="E72" t="inlineStr">
        <is>
          <t>Ativo</t>
        </is>
      </c>
      <c r="F72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73">
      <c r="A73" t="inlineStr">
        <is>
          <t>2019NE00416</t>
        </is>
      </c>
      <c r="B73" t="inlineStr">
        <is>
          <t>1/2018</t>
        </is>
      </c>
      <c r="C73" t="inlineStr">
        <is>
          <t>22/05/2019</t>
        </is>
      </c>
      <c r="D73" t="n">
        <v>1623.56</v>
      </c>
      <c r="E73" t="inlineStr">
        <is>
          <t>Ativo</t>
        </is>
      </c>
      <c r="F73" t="inlineStr">
        <is>
          <t>1º TA ao CT nº 001/2018-FHAJ de serviço de confecção de páginas eletrônicas. Maio/2019.</t>
        </is>
      </c>
    </row>
    <row r="74">
      <c r="A74" t="inlineStr">
        <is>
          <t>2018NE00915</t>
        </is>
      </c>
      <c r="B74" t="inlineStr">
        <is>
          <t>9/2017</t>
        </is>
      </c>
      <c r="C74" t="inlineStr">
        <is>
          <t>21/09/2018</t>
        </is>
      </c>
      <c r="D74" t="n">
        <v>6800</v>
      </c>
      <c r="E74" t="inlineStr">
        <is>
          <t>Ativo</t>
        </is>
      </c>
      <c r="F74" t="inlineStr">
        <is>
          <t>Referente ao 1º Termo Aditivo ao Contrato nº 009/2017-FHAJ - Período: Abril/2018.</t>
        </is>
      </c>
    </row>
    <row r="75">
      <c r="A75" t="inlineStr">
        <is>
          <t>2022NE0001892</t>
        </is>
      </c>
      <c r="B75" t="inlineStr">
        <is>
          <t>1/2018</t>
        </is>
      </c>
      <c r="C75" t="inlineStr">
        <is>
          <t>20/10/2022</t>
        </is>
      </c>
      <c r="D75" t="n">
        <v>2157.7</v>
      </c>
      <c r="E75" t="inlineStr">
        <is>
          <t>Ativo</t>
        </is>
      </c>
      <c r="F75" t="inlineStr">
        <is>
          <t>Referente ao 4º TA ao CT 001/2018-FHAJ, serviços de disponibilidade de gestor de conteúdo WEB (Publicações padrão Governo). Período: Setembro/2022.</t>
        </is>
      </c>
    </row>
    <row r="76">
      <c r="A76" t="inlineStr">
        <is>
          <t>2022NE0001891</t>
        </is>
      </c>
      <c r="B76" t="inlineStr">
        <is>
          <t>8/2022</t>
        </is>
      </c>
      <c r="C76" t="inlineStr">
        <is>
          <t>20/10/2022</t>
        </is>
      </c>
      <c r="D76" t="n">
        <v>7525.43</v>
      </c>
      <c r="E76" t="inlineStr">
        <is>
          <t>Ativo</t>
        </is>
      </c>
      <c r="F76" t="inlineStr">
        <is>
          <t>Referente ao CT 008/2022-FHAJ, serviços de acesso à Internet banda larga, com Ip dedicado. Período: Setembro/2022.</t>
        </is>
      </c>
    </row>
    <row r="77">
      <c r="A77" t="inlineStr">
        <is>
          <t>2016NE00860</t>
        </is>
      </c>
      <c r="B77" t="inlineStr">
        <is>
          <t>P.144/2016</t>
        </is>
      </c>
      <c r="C77" t="inlineStr">
        <is>
          <t>20/10/2016</t>
        </is>
      </c>
      <c r="D77" t="n">
        <v>3400</v>
      </c>
      <c r="E77" t="inlineStr">
        <is>
          <t>Ativo</t>
        </is>
      </c>
      <c r="F77" t="inlineStr">
        <is>
          <t xml:space="preserve">Indenizações, Parecer Jurídico nº 219/2016-ASJUR/FHAJ, referente a prestação de serviços de acesso gerenciado a Rede Mundial por Mbps (de 1 até 10 Mbps) - (5,000 x 680,00 = R$ 3.400,00), competência: </t>
        </is>
      </c>
    </row>
    <row r="78">
      <c r="A78" t="inlineStr">
        <is>
          <t>2016NE00862</t>
        </is>
      </c>
      <c r="B78" t="inlineStr">
        <is>
          <t>P.144/2016</t>
        </is>
      </c>
      <c r="C78" t="inlineStr">
        <is>
          <t>20/10/2016</t>
        </is>
      </c>
      <c r="D78" t="n">
        <v>3400</v>
      </c>
      <c r="E78" t="inlineStr">
        <is>
          <t>Ativo</t>
        </is>
      </c>
      <c r="F78" t="inlineStr">
        <is>
          <t xml:space="preserve">Indenizações, Parecer Jurídico nº 221/2016-ASJUR/FHAJ, referente a prestação de serviços de acesso gerenciado a Rede Mundial por Mbps (de 1 até 10 Mbps) - (5,000 x 680,00 = R$ 3.400,00), competência: </t>
        </is>
      </c>
    </row>
    <row r="79">
      <c r="A79" t="inlineStr">
        <is>
          <t>2016NE00860</t>
        </is>
      </c>
      <c r="B79" t="inlineStr">
        <is>
          <t>P.144/2016</t>
        </is>
      </c>
      <c r="C79" t="inlineStr">
        <is>
          <t>20/10/2016</t>
        </is>
      </c>
      <c r="D79" t="n">
        <v>3400</v>
      </c>
      <c r="E79" t="inlineStr">
        <is>
          <t>Ativo</t>
        </is>
      </c>
      <c r="F79" t="inlineStr">
        <is>
          <t xml:space="preserve">Indenizações, Parecer Jurídico nº 219/2016-ASJUR/FHAJ, referente a prestação de serviços de acesso gerenciado a Rede Mundial por Mbps (de 1 até 10 Mbps) - (5,000 x 680,00 = R$ 3.400,00), competência: </t>
        </is>
      </c>
    </row>
    <row r="80">
      <c r="A80" t="inlineStr">
        <is>
          <t>2016NE00862</t>
        </is>
      </c>
      <c r="B80" t="inlineStr">
        <is>
          <t>P.144/2016</t>
        </is>
      </c>
      <c r="C80" t="inlineStr">
        <is>
          <t>20/10/2016</t>
        </is>
      </c>
      <c r="D80" t="n">
        <v>3400</v>
      </c>
      <c r="E80" t="inlineStr">
        <is>
          <t>Ativo</t>
        </is>
      </c>
      <c r="F80" t="inlineStr">
        <is>
          <t xml:space="preserve">Indenizações, Parecer Jurídico nº 221/2016-ASJUR/FHAJ, referente a prestação de serviços de acesso gerenciado a Rede Mundial por Mbps (de 1 até 10 Mbps) - (5,000 x 680,00 = R$ 3.400,00), competência: </t>
        </is>
      </c>
    </row>
    <row r="81">
      <c r="A81" t="inlineStr">
        <is>
          <t>2016NE00858</t>
        </is>
      </c>
      <c r="B81" t="inlineStr">
        <is>
          <t>P.144/2016</t>
        </is>
      </c>
      <c r="C81" t="inlineStr">
        <is>
          <t>20/10/2016</t>
        </is>
      </c>
      <c r="D81" t="n">
        <v>3400</v>
      </c>
      <c r="E81" t="inlineStr">
        <is>
          <t>Ativo</t>
        </is>
      </c>
      <c r="F81" t="inlineStr">
        <is>
          <t>Indenizações, Parecer Jurídico nº 217/2016-ASJUR/FHAJ, referente a prestação de serviços de acesso gerenciado a Rede Mundial por Mbps (de 1 até 10 Mbps) - (5,000 x 680,00 = R$ 3.400,00, competência: 0</t>
        </is>
      </c>
    </row>
    <row r="82">
      <c r="A82" t="inlineStr">
        <is>
          <t>2016NE00859</t>
        </is>
      </c>
      <c r="B82" t="inlineStr">
        <is>
          <t>P.144/2016</t>
        </is>
      </c>
      <c r="C82" t="inlineStr">
        <is>
          <t>20/10/2016</t>
        </is>
      </c>
      <c r="D82" t="n">
        <v>3400</v>
      </c>
      <c r="E82" t="inlineStr">
        <is>
          <t>Ativo</t>
        </is>
      </c>
      <c r="F82" t="inlineStr">
        <is>
          <t xml:space="preserve">Indenizações, Parecer Jurídico nº 218/2016-ASJUR/FHAJ, referente a prestação de serviços de acesso gerenciado a Rede Mundial por Mbps (de 1 até 10 Mbps) - (5,000 x 680,00 = R$ 3.400,00), competência: </t>
        </is>
      </c>
    </row>
    <row r="83">
      <c r="A83" t="inlineStr">
        <is>
          <t>2016NE00861</t>
        </is>
      </c>
      <c r="B83" t="inlineStr">
        <is>
          <t>P.144/2016</t>
        </is>
      </c>
      <c r="C83" t="inlineStr">
        <is>
          <t>20/10/2016</t>
        </is>
      </c>
      <c r="D83" t="n">
        <v>3400</v>
      </c>
      <c r="E83" t="inlineStr">
        <is>
          <t>Ativo</t>
        </is>
      </c>
      <c r="F83" t="inlineStr">
        <is>
          <t xml:space="preserve">Indenizações, Parecer Jurídico nº 220/2016-ASJUR/FHAJ, referente a prestação de serviços de acesso gerenciado a Rede Mundial por Mbps (de 1 até 10 Mbps) - (5,000 x 680,00 = R$ 3.400,00), competência: </t>
        </is>
      </c>
    </row>
    <row r="84">
      <c r="A84" t="inlineStr">
        <is>
          <t>2016NE00859</t>
        </is>
      </c>
      <c r="B84" t="inlineStr">
        <is>
          <t>P.144/2016</t>
        </is>
      </c>
      <c r="C84" t="inlineStr">
        <is>
          <t>20/10/2016</t>
        </is>
      </c>
      <c r="D84" t="n">
        <v>3400</v>
      </c>
      <c r="E84" t="inlineStr">
        <is>
          <t>Ativo</t>
        </is>
      </c>
      <c r="F84" t="inlineStr">
        <is>
          <t xml:space="preserve">Indenizações, Parecer Jurídico nº 218/2016-ASJUR/FHAJ, referente a prestação de serviços de acesso gerenciado a Rede Mundial por Mbps (de 1 até 10 Mbps) - (5,000 x 680,00 = R$ 3.400,00), competência: </t>
        </is>
      </c>
    </row>
    <row r="85">
      <c r="A85" t="inlineStr">
        <is>
          <t>2016NE00861</t>
        </is>
      </c>
      <c r="B85" t="inlineStr">
        <is>
          <t>P.144/2016</t>
        </is>
      </c>
      <c r="C85" t="inlineStr">
        <is>
          <t>20/10/2016</t>
        </is>
      </c>
      <c r="D85" t="n">
        <v>3400</v>
      </c>
      <c r="E85" t="inlineStr">
        <is>
          <t>Ativo</t>
        </is>
      </c>
      <c r="F85" t="inlineStr">
        <is>
          <t xml:space="preserve">Indenizações, Parecer Jurídico nº 220/2016-ASJUR/FHAJ, referente a prestação de serviços de acesso gerenciado a Rede Mundial por Mbps (de 1 até 10 Mbps) - (5,000 x 680,00 = R$ 3.400,00), competência: </t>
        </is>
      </c>
    </row>
    <row r="86">
      <c r="A86" t="inlineStr">
        <is>
          <t>2016NE00858</t>
        </is>
      </c>
      <c r="B86" t="inlineStr">
        <is>
          <t>P.144/2016</t>
        </is>
      </c>
      <c r="C86" t="inlineStr">
        <is>
          <t>20/10/2016</t>
        </is>
      </c>
      <c r="D86" t="n">
        <v>3400</v>
      </c>
      <c r="E86" t="inlineStr">
        <is>
          <t>Ativo</t>
        </is>
      </c>
      <c r="F86" t="inlineStr">
        <is>
          <t>Indenizações, Parecer Jurídico nº 217/2016-ASJUR/FHAJ, referente a prestação de serviços de acesso gerenciado a Rede Mundial por Mbps (de 1 até 10 Mbps) - (5,000 x 680,00 = R$ 3.400,00, competência: 0</t>
        </is>
      </c>
    </row>
    <row r="87">
      <c r="A87" t="inlineStr">
        <is>
          <t>2020NE00985</t>
        </is>
      </c>
      <c r="B87" t="inlineStr">
        <is>
          <t>1/2018</t>
        </is>
      </c>
      <c r="C87" t="inlineStr">
        <is>
          <t>20/07/2020</t>
        </is>
      </c>
      <c r="D87" t="n">
        <v>1678.44</v>
      </c>
      <c r="E87" t="inlineStr">
        <is>
          <t>Ativo</t>
        </is>
      </c>
      <c r="F87" t="inlineStr">
        <is>
          <t>2º TA ao CT nº 001/2018-FHAJ de serviço de confecção de páginas eletrônicas. Período: julho/2020.</t>
        </is>
      </c>
    </row>
    <row r="88">
      <c r="A88" t="inlineStr">
        <is>
          <t>2020NE00984</t>
        </is>
      </c>
      <c r="B88" t="inlineStr">
        <is>
          <t>9/2017</t>
        </is>
      </c>
      <c r="C88" t="inlineStr">
        <is>
          <t>20/07/2020</t>
        </is>
      </c>
      <c r="D88" t="n">
        <v>15100.2</v>
      </c>
      <c r="E88" t="inlineStr">
        <is>
          <t>Ativo</t>
        </is>
      </c>
      <c r="F88" t="inlineStr">
        <is>
          <t>Referente ao 3º Termo Aditivo ao Contrato nº 009/17 - Internet banda larga - período: Junho e Julho/2020.</t>
        </is>
      </c>
    </row>
    <row r="89">
      <c r="A89" t="inlineStr">
        <is>
          <t>2020NE00477</t>
        </is>
      </c>
      <c r="B89" t="inlineStr">
        <is>
          <t>9/2017</t>
        </is>
      </c>
      <c r="C89" t="inlineStr">
        <is>
          <t>20/03/2020</t>
        </is>
      </c>
      <c r="D89" t="n">
        <v>7458.9</v>
      </c>
      <c r="E89" t="inlineStr">
        <is>
          <t>Ativo</t>
        </is>
      </c>
      <c r="F89" t="inlineStr">
        <is>
          <t>Referente ao 3º Termo Aditivo ao Contrato nº 009/17 - Internet banda larga - período: Abril/2020.</t>
        </is>
      </c>
    </row>
    <row r="90">
      <c r="A90" t="inlineStr">
        <is>
          <t>2021NE0000025</t>
        </is>
      </c>
      <c r="B90" t="inlineStr"/>
      <c r="C90" t="inlineStr">
        <is>
          <t>20/01/2021</t>
        </is>
      </c>
      <c r="D90" t="n">
        <v>16358.55</v>
      </c>
      <c r="E90" t="inlineStr">
        <is>
          <t>Ativo</t>
        </is>
      </c>
      <c r="F90" t="inlineStr">
        <is>
          <t>ANULAÇÃO DA NE 21/2021 POR DATA INCORRETA.</t>
        </is>
      </c>
    </row>
    <row r="91">
      <c r="A91" t="inlineStr">
        <is>
          <t>2021NE0000032</t>
        </is>
      </c>
      <c r="B91" t="inlineStr">
        <is>
          <t>1/2018</t>
        </is>
      </c>
      <c r="C91" t="inlineStr">
        <is>
          <t>20/01/2021</t>
        </is>
      </c>
      <c r="D91" t="n">
        <v>1678.44</v>
      </c>
      <c r="E91" t="inlineStr">
        <is>
          <t>Ativo</t>
        </is>
      </c>
      <c r="F91" t="inlineStr">
        <is>
          <t>3º TA ao CT nº 001/2018-FHAJ de serviço de confecção de páginas eletrônicas. Período: Janeiro/2021.</t>
        </is>
      </c>
    </row>
    <row r="92">
      <c r="A92" t="inlineStr">
        <is>
          <t>2021NE0000021</t>
        </is>
      </c>
      <c r="B92" t="inlineStr">
        <is>
          <t>9/2017</t>
        </is>
      </c>
      <c r="C92" t="inlineStr">
        <is>
          <t>20/01/2021</t>
        </is>
      </c>
      <c r="D92" t="n">
        <v>16358.55</v>
      </c>
      <c r="E92" t="inlineStr">
        <is>
          <t>Ativo</t>
        </is>
      </c>
      <c r="F92" t="inlineStr">
        <is>
          <t>3º TA ao CT 009/2017, contratação de empresa especializada para prestação de serviços de acesso à internet Banda Larga com IP dedicado, com velocidade de 10 Mbps. Período: jan, fev e de 01 a 05 de mar</t>
        </is>
      </c>
    </row>
    <row r="93">
      <c r="A93" t="inlineStr">
        <is>
          <t>2024NE0001731</t>
        </is>
      </c>
      <c r="B93" t="inlineStr">
        <is>
          <t>4/2024</t>
        </is>
      </c>
      <c r="C93" t="inlineStr">
        <is>
          <t>19/11/2024</t>
        </is>
      </c>
      <c r="D93" t="n">
        <v>1455.67</v>
      </c>
      <c r="E93" t="inlineStr">
        <is>
          <t>Ativo</t>
        </is>
      </c>
      <c r="F93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94">
      <c r="A94" t="inlineStr">
        <is>
          <t>2022NE0000905</t>
        </is>
      </c>
      <c r="B94" t="inlineStr">
        <is>
          <t>1/2018</t>
        </is>
      </c>
      <c r="C94" t="inlineStr">
        <is>
          <t>19/05/2022</t>
        </is>
      </c>
      <c r="D94" t="n">
        <v>2157.7</v>
      </c>
      <c r="E94" t="inlineStr">
        <is>
          <t>Ativo</t>
        </is>
      </c>
      <c r="F94" t="inlineStr">
        <is>
          <t>Referente ao 4º TA ao CT 001/2018-FHAJ, serviços de disponibilidade de gestor de conteúdo WEB (Publicações padrão Governo). Período: Maio/2022.</t>
        </is>
      </c>
    </row>
    <row r="95">
      <c r="A95" t="inlineStr">
        <is>
          <t>2022NE0000904</t>
        </is>
      </c>
      <c r="B95" t="inlineStr">
        <is>
          <t>8/2022</t>
        </is>
      </c>
      <c r="C95" t="inlineStr">
        <is>
          <t>19/05/2022</t>
        </is>
      </c>
      <c r="D95" t="n">
        <v>7525.43</v>
      </c>
      <c r="E95" t="inlineStr">
        <is>
          <t>Ativo</t>
        </is>
      </c>
      <c r="F95" t="inlineStr">
        <is>
          <t>Referente ao CT 008/2022-FHAJ, serviços de acesso à Internet banda larga, com Ip dedicado; Período: Maio/2022.</t>
        </is>
      </c>
    </row>
    <row r="96">
      <c r="A96" t="inlineStr">
        <is>
          <t>2021NE0000004</t>
        </is>
      </c>
      <c r="B96" t="inlineStr"/>
      <c r="C96" t="inlineStr">
        <is>
          <t>19/01/2021</t>
        </is>
      </c>
      <c r="D96" t="n">
        <v>16358.55</v>
      </c>
      <c r="E96" t="inlineStr">
        <is>
          <t>Ativo</t>
        </is>
      </c>
      <c r="F96" t="inlineStr">
        <is>
          <t>ANULAÇÃO DA NE 1/2021 POR DATA INCORRETA.</t>
        </is>
      </c>
    </row>
    <row r="97">
      <c r="A97" t="inlineStr">
        <is>
          <t>2021NE0000001</t>
        </is>
      </c>
      <c r="B97" t="inlineStr">
        <is>
          <t>9/2017</t>
        </is>
      </c>
      <c r="C97" t="inlineStr">
        <is>
          <t>19/01/2021</t>
        </is>
      </c>
      <c r="D97" t="n">
        <v>16358.55</v>
      </c>
      <c r="E97" t="inlineStr">
        <is>
          <t>Ativo</t>
        </is>
      </c>
      <c r="F97" t="inlineStr">
        <is>
          <t>3º TA ao CT 009/2017, contratação de empresa especializada para prestação de serviços de acesso à internet Banda Larga com IP dedicado, com velocidade de 10 Mbps. Período: jan, fev e de 01 a 05 de mar</t>
        </is>
      </c>
    </row>
    <row r="98">
      <c r="A98" t="inlineStr">
        <is>
          <t>2017NE01184</t>
        </is>
      </c>
      <c r="B98" t="inlineStr"/>
      <c r="C98" t="inlineStr">
        <is>
          <t>18/12/2017</t>
        </is>
      </c>
      <c r="D98" t="n">
        <v>17000</v>
      </c>
      <c r="E98" t="inlineStr">
        <is>
          <t>Ativo</t>
        </is>
      </c>
      <c r="F98" t="inlineStr">
        <is>
          <t>Contrato 009/17 - Internet Banda Larga - R$ 3.400,00 mensal (Jul à Nov/17)</t>
        </is>
      </c>
    </row>
    <row r="99">
      <c r="A99" t="inlineStr">
        <is>
          <t>2022NE0002056</t>
        </is>
      </c>
      <c r="B99" t="inlineStr">
        <is>
          <t>8/2022</t>
        </is>
      </c>
      <c r="C99" t="inlineStr">
        <is>
          <t>18/11/2022</t>
        </is>
      </c>
      <c r="D99" t="n">
        <v>7525.43</v>
      </c>
      <c r="E99" t="inlineStr">
        <is>
          <t>Ativo</t>
        </is>
      </c>
      <c r="F99" t="inlineStr">
        <is>
          <t>Referente ao CT 008/2022-FHAJ, serviços de acesso à Internet banda larga, com Ip dedicado. Período: Outubro/2022.</t>
        </is>
      </c>
    </row>
    <row r="100">
      <c r="A100" t="inlineStr">
        <is>
          <t>2022NE0002057</t>
        </is>
      </c>
      <c r="B100" t="inlineStr">
        <is>
          <t>1/2018</t>
        </is>
      </c>
      <c r="C100" t="inlineStr">
        <is>
          <t>18/11/2022</t>
        </is>
      </c>
      <c r="D100" t="n">
        <v>2157.7</v>
      </c>
      <c r="E100" t="inlineStr">
        <is>
          <t>Ativo</t>
        </is>
      </c>
      <c r="F100" t="inlineStr">
        <is>
          <t>Referente ao 4º TA ao CT 001/2018-FHAJ, serviços de disponibilidade de gestor de conteúdo WEB (Publicações padrão Governo). Período: Outubro/2022.</t>
        </is>
      </c>
    </row>
    <row r="101">
      <c r="A101" t="inlineStr">
        <is>
          <t>2026NE0000198</t>
        </is>
      </c>
      <c r="B101" t="inlineStr">
        <is>
          <t>4/2024</t>
        </is>
      </c>
      <c r="C101" t="inlineStr">
        <is>
          <t>18/03/2026</t>
        </is>
      </c>
      <c r="D101" t="n">
        <v>2717.66</v>
      </c>
      <c r="E101" t="inlineStr">
        <is>
          <t>Ativo</t>
        </is>
      </c>
      <c r="F101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02">
      <c r="A102" t="inlineStr">
        <is>
          <t>2022NE0000224</t>
        </is>
      </c>
      <c r="B102" t="inlineStr">
        <is>
          <t>1/2018</t>
        </is>
      </c>
      <c r="C102" t="inlineStr">
        <is>
          <t>18/02/2022</t>
        </is>
      </c>
      <c r="D102" t="n">
        <v>1979.55</v>
      </c>
      <c r="E102" t="inlineStr">
        <is>
          <t>Ativo</t>
        </is>
      </c>
      <c r="F102">
        <f>3º Termo Aditivo ao Contrato nº 001/2018-FHAJ, cujo o objeto e a contratação de de pessoa jurídica especializada em serviços de informática, compreendendo à disponibilização de gestor de conteúdo WEB</f>
        <v/>
      </c>
    </row>
    <row r="103">
      <c r="A103" t="inlineStr">
        <is>
          <t>2022NE0000225</t>
        </is>
      </c>
      <c r="B103" t="inlineStr">
        <is>
          <t>1/2018</t>
        </is>
      </c>
      <c r="C103" t="inlineStr">
        <is>
          <t>18/02/2022</t>
        </is>
      </c>
      <c r="D103" t="n">
        <v>1979.55</v>
      </c>
      <c r="E103" t="inlineStr">
        <is>
          <t>Ativo</t>
        </is>
      </c>
      <c r="F103">
        <f>3º Termo Aditivo ao Contrato nº 001/2018-FHAJ, cujo o objeto e a contratação de de pessoa jurídica especializada em serviços de informática, compreendendo à disponibilização de gestor de conteúdo WEB</f>
        <v/>
      </c>
    </row>
    <row r="104">
      <c r="A104" t="inlineStr">
        <is>
          <t>2022NE0000226</t>
        </is>
      </c>
      <c r="B104" t="inlineStr">
        <is>
          <t>1/2018</t>
        </is>
      </c>
      <c r="C104" t="inlineStr">
        <is>
          <t>18/02/2022</t>
        </is>
      </c>
      <c r="D104" t="n">
        <v>1979.55</v>
      </c>
      <c r="E104" t="inlineStr">
        <is>
          <t>Ativo</t>
        </is>
      </c>
      <c r="F104">
        <f>3º Termo Aditivo ao Contrato nº 001/2018-FHAJ, cujo o objeto e a contratação de de pessoa jurídica especializada em serviços de informática, compreendendo à disponibilização de gestor de conteúdo WEB</f>
        <v/>
      </c>
    </row>
    <row r="105">
      <c r="A105" t="inlineStr">
        <is>
          <t>2021NE0001070</t>
        </is>
      </c>
      <c r="B105" t="inlineStr">
        <is>
          <t>1/2018</t>
        </is>
      </c>
      <c r="C105" t="inlineStr">
        <is>
          <t>17/08/2021</t>
        </is>
      </c>
      <c r="D105" t="n">
        <v>1678.44</v>
      </c>
      <c r="E105" t="inlineStr">
        <is>
          <t>Ativo</t>
        </is>
      </c>
      <c r="F105" t="inlineStr">
        <is>
          <t>3º TA ao CT nº 001/2018-FHAJ de serviço de confecção de páginas eletrônicas. Período: Agosto/2021 (parcial).</t>
        </is>
      </c>
    </row>
    <row r="106">
      <c r="A106" t="inlineStr">
        <is>
          <t>2021NE0001068</t>
        </is>
      </c>
      <c r="B106" t="inlineStr">
        <is>
          <t>9/2017</t>
        </is>
      </c>
      <c r="C106" t="inlineStr">
        <is>
          <t>17/08/2021</t>
        </is>
      </c>
      <c r="D106" t="n">
        <v>7457.56</v>
      </c>
      <c r="E106" t="inlineStr">
        <is>
          <t>Ativo</t>
        </is>
      </c>
      <c r="F106" t="inlineStr">
        <is>
          <t>4º TA ao CT 009/2017, contratação de empresa especializada para prestação de serviços de acesso à internet Banda Larga com IP dedicado, com velocidade de 35 Mbps. Período: Agosto/2021.</t>
        </is>
      </c>
    </row>
    <row r="107">
      <c r="A107" t="inlineStr">
        <is>
          <t>2023NE0000192</t>
        </is>
      </c>
      <c r="B107" t="inlineStr">
        <is>
          <t>8/2022</t>
        </is>
      </c>
      <c r="C107" t="inlineStr">
        <is>
          <t>17/02/2023</t>
        </is>
      </c>
      <c r="D107" t="n">
        <v>7525.43</v>
      </c>
      <c r="E107" t="inlineStr">
        <is>
          <t>Ativo</t>
        </is>
      </c>
      <c r="F107" t="inlineStr">
        <is>
          <t>Referente ao CT 008/2022-FHAJ, serviços de acesso à Internet banda larga, com Ip dedicado. Período: Fevereiro/2023.</t>
        </is>
      </c>
    </row>
    <row r="108">
      <c r="A108" t="inlineStr">
        <is>
          <t>2016NE01164</t>
        </is>
      </c>
      <c r="B108" t="inlineStr">
        <is>
          <t>P.144/2016</t>
        </is>
      </c>
      <c r="C108" t="inlineStr">
        <is>
          <t>16/12/2016</t>
        </is>
      </c>
      <c r="D108" t="n">
        <v>3400</v>
      </c>
      <c r="E108" t="inlineStr">
        <is>
          <t>Ativo</t>
        </is>
      </c>
      <c r="F108" t="inlineStr">
        <is>
          <t>Indenizações, Parecer Jurídico nº 248/2016-ASJUR/FHAJ, referente a prestação de serviço de acesso gerenciado a rede mundial, por Mbps (de 1 até) - (5.000 x 680,00) - R$ 3.400,00 no mês: 11/2016, confo</t>
        </is>
      </c>
    </row>
    <row r="109">
      <c r="A109" t="inlineStr">
        <is>
          <t>2020NE01534</t>
        </is>
      </c>
      <c r="B109" t="inlineStr">
        <is>
          <t>9/2017</t>
        </is>
      </c>
      <c r="C109" t="inlineStr">
        <is>
          <t>16/11/2020</t>
        </is>
      </c>
      <c r="D109" t="n">
        <v>7550.1</v>
      </c>
      <c r="E109" t="inlineStr">
        <is>
          <t>Ativo</t>
        </is>
      </c>
      <c r="F109" t="inlineStr">
        <is>
          <t>Referente ao 3º Termo Aditivo ao Contrato nº 009/17 - Internet banda larga - Período: Dezembro/2020.</t>
        </is>
      </c>
    </row>
    <row r="110">
      <c r="A110" t="inlineStr">
        <is>
          <t>2015NE00199</t>
        </is>
      </c>
      <c r="B110" t="inlineStr">
        <is>
          <t>11/2011</t>
        </is>
      </c>
      <c r="C110" t="inlineStr">
        <is>
          <t>16/04/2015</t>
        </is>
      </c>
      <c r="D110" t="n">
        <v>5279</v>
      </c>
      <c r="E110" t="inlineStr">
        <is>
          <t>Ativo</t>
        </is>
      </c>
      <c r="F110" t="inlineStr">
        <is>
          <t>COBERTURA MARÇO 2015</t>
        </is>
      </c>
    </row>
    <row r="111">
      <c r="A111" t="inlineStr">
        <is>
          <t>2015NE00209</t>
        </is>
      </c>
      <c r="B111" t="inlineStr">
        <is>
          <t>12/2010</t>
        </is>
      </c>
      <c r="C111" t="inlineStr">
        <is>
          <t>16/04/2015</t>
        </is>
      </c>
      <c r="D111" t="n">
        <v>9390.08</v>
      </c>
      <c r="E111" t="inlineStr">
        <is>
          <t>Ativo</t>
        </is>
      </c>
      <c r="F111" t="inlineStr">
        <is>
          <t>Cobertura março 2015</t>
        </is>
      </c>
    </row>
    <row r="112">
      <c r="A112" t="inlineStr">
        <is>
          <t>2025NE0001212</t>
        </is>
      </c>
      <c r="B112" t="inlineStr">
        <is>
          <t>1/2018</t>
        </is>
      </c>
      <c r="C112" t="inlineStr">
        <is>
          <t>15/10/2025</t>
        </is>
      </c>
      <c r="D112" t="n">
        <v>2297.09</v>
      </c>
      <c r="E112" t="inlineStr">
        <is>
          <t>Ativo</t>
        </is>
      </c>
      <c r="F112" t="inlineStr">
        <is>
          <t>Referente a contratação de de pessoa jurídica especializada em serviços de informática, compreendendo à disponibilização de gestor de conteúdo WEB, para publicação de informações, notícias, vídeos e i</t>
        </is>
      </c>
    </row>
    <row r="113">
      <c r="A113" t="inlineStr">
        <is>
          <t>2025NE0001206</t>
        </is>
      </c>
      <c r="B113" t="inlineStr">
        <is>
          <t>8/2022</t>
        </is>
      </c>
      <c r="C113" t="inlineStr">
        <is>
          <t>15/10/2025</t>
        </is>
      </c>
      <c r="D113" t="n">
        <v>9256.1</v>
      </c>
      <c r="E113" t="inlineStr">
        <is>
          <t>Ativo</t>
        </is>
      </c>
      <c r="F113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14">
      <c r="A114" t="inlineStr">
        <is>
          <t>2025NE0001218</t>
        </is>
      </c>
      <c r="B114" t="inlineStr">
        <is>
          <t>8/2022</t>
        </is>
      </c>
      <c r="C114" t="inlineStr">
        <is>
          <t>15/10/2025</t>
        </is>
      </c>
      <c r="D114" t="n">
        <v>835.9</v>
      </c>
      <c r="E114" t="inlineStr">
        <is>
          <t>Ativo</t>
        </is>
      </c>
      <c r="F114" t="inlineStr">
        <is>
          <t>Referente ao 1º Termo Aditivo ao Contrato nº 008/2022-FHAJ, cujo o objeto é a contratação de pessoa jurídica especializada para prestação de serviços de acesso à Internet Banda Larga, com IP dedicado,</t>
        </is>
      </c>
    </row>
    <row r="115">
      <c r="A115" t="inlineStr">
        <is>
          <t>2025NE0001209</t>
        </is>
      </c>
      <c r="B115" t="inlineStr">
        <is>
          <t>1/2018</t>
        </is>
      </c>
      <c r="C115" t="inlineStr">
        <is>
          <t>15/10/2025</t>
        </is>
      </c>
      <c r="D115" t="n">
        <v>2297.09</v>
      </c>
      <c r="E115" t="inlineStr">
        <is>
          <t>Ativo</t>
        </is>
      </c>
      <c r="F115">
        <f> Referente a contratação de de pessoa jurídica especializada em serviços de informática, compreendendo à disponibilização de gestor de conteúdo WEB, para publicação de informações, notícias, vídeos e</f>
        <v/>
      </c>
    </row>
    <row r="116">
      <c r="A116" t="inlineStr">
        <is>
          <t>2025NE0001217</t>
        </is>
      </c>
      <c r="B116" t="inlineStr">
        <is>
          <t>8/2022</t>
        </is>
      </c>
      <c r="C116" t="inlineStr">
        <is>
          <t>15/10/2025</t>
        </is>
      </c>
      <c r="D116" t="n">
        <v>9256.1</v>
      </c>
      <c r="E116" t="inlineStr">
        <is>
          <t>Ativo</t>
        </is>
      </c>
      <c r="F116" t="inlineStr">
        <is>
          <t>Referente ao 1º Termo Aditivo ao Contrato nº 008/2022-FHAJ, cujo o objeto é a contratação de pessoa jurídica especializada para prestação de serviços de acesso à Internet Banda Larga, com IP dedicado,</t>
        </is>
      </c>
    </row>
    <row r="117">
      <c r="A117" t="inlineStr">
        <is>
          <t>2025NE0001208</t>
        </is>
      </c>
      <c r="B117" t="inlineStr">
        <is>
          <t>1/2018</t>
        </is>
      </c>
      <c r="C117" t="inlineStr">
        <is>
          <t>15/10/2025</t>
        </is>
      </c>
      <c r="D117" t="n">
        <v>2220.52</v>
      </c>
      <c r="E117" t="inlineStr">
        <is>
          <t>Ativo</t>
        </is>
      </c>
      <c r="F117">
        <f> Referente a contratação de de pessoa jurídica especializada em serviços de informática, compreendendo à disponibilização de gestor de conteúdo WEB, para publicação de informações, notícias, vídeos e</f>
        <v/>
      </c>
    </row>
    <row r="118">
      <c r="A118" t="inlineStr">
        <is>
          <t>2025NE0001205</t>
        </is>
      </c>
      <c r="B118" t="inlineStr">
        <is>
          <t>8/2022</t>
        </is>
      </c>
      <c r="C118" t="inlineStr">
        <is>
          <t>15/10/2025</t>
        </is>
      </c>
      <c r="D118" t="n">
        <v>9256.1</v>
      </c>
      <c r="E118" t="inlineStr">
        <is>
          <t>Ativo</t>
        </is>
      </c>
      <c r="F118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19">
      <c r="A119" t="inlineStr">
        <is>
          <t>2025NE0001214</t>
        </is>
      </c>
      <c r="B119" t="inlineStr">
        <is>
          <t>8/2022</t>
        </is>
      </c>
      <c r="C119" t="inlineStr">
        <is>
          <t>15/10/2025</t>
        </is>
      </c>
      <c r="D119" t="n">
        <v>9256.1</v>
      </c>
      <c r="E119" t="inlineStr">
        <is>
          <t>Ativo</t>
        </is>
      </c>
      <c r="F119">
        <f> Referente a contratação de pessoa jurídica especializada para prestação de serviços de acesso à Internet Banda Larga, com IP dedicado, com velocidade de 37 Mbps, pelo período de 12 (doze) meses, par</f>
        <v/>
      </c>
    </row>
    <row r="120">
      <c r="A120" t="inlineStr">
        <is>
          <t>2025NE0001196</t>
        </is>
      </c>
      <c r="B120" t="inlineStr">
        <is>
          <t>4/2024</t>
        </is>
      </c>
      <c r="C120" t="inlineStr">
        <is>
          <t>15/10/2025</t>
        </is>
      </c>
      <c r="D120" t="n">
        <v>2717.66</v>
      </c>
      <c r="E120" t="inlineStr">
        <is>
          <t>Ativo</t>
        </is>
      </c>
      <c r="F120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21">
      <c r="A121" t="inlineStr">
        <is>
          <t>2025NE0001207</t>
        </is>
      </c>
      <c r="B121" t="inlineStr">
        <is>
          <t>8/2022</t>
        </is>
      </c>
      <c r="C121" t="inlineStr">
        <is>
          <t>15/10/2025</t>
        </is>
      </c>
      <c r="D121" t="n">
        <v>9256.1</v>
      </c>
      <c r="E121" t="inlineStr">
        <is>
          <t>Ativo</t>
        </is>
      </c>
      <c r="F121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22">
      <c r="A122" t="inlineStr">
        <is>
          <t>2025NE0001213</t>
        </is>
      </c>
      <c r="B122" t="inlineStr">
        <is>
          <t>8/2022</t>
        </is>
      </c>
      <c r="C122" t="inlineStr">
        <is>
          <t>15/10/2025</t>
        </is>
      </c>
      <c r="D122" t="n">
        <v>9256.1</v>
      </c>
      <c r="E122" t="inlineStr">
        <is>
          <t>Ativo</t>
        </is>
      </c>
      <c r="F122">
        <f> Referente a contratação de pessoa jurídica especializada para prestação de serviços de acesso à Internet Banda Larga, com IP dedicado, com velocidade de 37 Mbps, pelo período de 12 (doze) meses, par</f>
        <v/>
      </c>
    </row>
    <row r="123">
      <c r="A123" t="inlineStr">
        <is>
          <t>2025NE0001219</t>
        </is>
      </c>
      <c r="B123" t="inlineStr">
        <is>
          <t>8/2022</t>
        </is>
      </c>
      <c r="C123" t="inlineStr">
        <is>
          <t>15/10/2025</t>
        </is>
      </c>
      <c r="D123" t="n">
        <v>9256.1</v>
      </c>
      <c r="E123" t="inlineStr">
        <is>
          <t>Ativo</t>
        </is>
      </c>
      <c r="F123">
        <f> Referente a contratação de pessoa jurídica especializada para prestação de serviços de acesso à Internet Banda Larga, com IP dedicado, com velocidade de 37 Mbps, pelo período de 12 (doze) meses, par</f>
        <v/>
      </c>
    </row>
    <row r="124">
      <c r="A124" t="inlineStr">
        <is>
          <t>2025NE0001211</t>
        </is>
      </c>
      <c r="B124" t="inlineStr">
        <is>
          <t>1/2018</t>
        </is>
      </c>
      <c r="C124" t="inlineStr">
        <is>
          <t>15/10/2025</t>
        </is>
      </c>
      <c r="D124" t="n">
        <v>2297.09</v>
      </c>
      <c r="E124" t="inlineStr">
        <is>
          <t>Ativo</t>
        </is>
      </c>
      <c r="F124" t="inlineStr">
        <is>
          <t>Referente a contratação de de pessoa jurídica especializada em serviços de informática, compreendendo à disponibilização de gestor de conteúdo WEB, para publicação de informações, notícias, vídeos e i</t>
        </is>
      </c>
    </row>
    <row r="125">
      <c r="A125" t="inlineStr">
        <is>
          <t>2025NE0001210</t>
        </is>
      </c>
      <c r="B125" t="inlineStr">
        <is>
          <t>1/2018</t>
        </is>
      </c>
      <c r="C125" t="inlineStr">
        <is>
          <t>15/10/2025</t>
        </is>
      </c>
      <c r="D125" t="n">
        <v>2297.09</v>
      </c>
      <c r="E125" t="inlineStr">
        <is>
          <t>Ativo</t>
        </is>
      </c>
      <c r="F125">
        <f> Referente a contratação de de pessoa jurídica especializada em serviços de informática, compreendendo à disponibilização de gestor de conteúdo WEB, para publicação de informações, notícias, vídeos e</f>
        <v/>
      </c>
    </row>
    <row r="126">
      <c r="A126" t="inlineStr">
        <is>
          <t>2025NE0001215</t>
        </is>
      </c>
      <c r="B126" t="inlineStr">
        <is>
          <t>8/2022</t>
        </is>
      </c>
      <c r="C126" t="inlineStr">
        <is>
          <t>15/10/2025</t>
        </is>
      </c>
      <c r="D126" t="n">
        <v>9256.1</v>
      </c>
      <c r="E126" t="inlineStr">
        <is>
          <t>Ativo</t>
        </is>
      </c>
      <c r="F126">
        <f> Referente a contratação de pessoa jurídica especializada para prestação de serviços de acesso à Internet Banda Larga, com IP dedicado, com velocidade de 37 Mbps, pelo período de 12 (doze) meses, par</f>
        <v/>
      </c>
    </row>
    <row r="127">
      <c r="A127" t="inlineStr">
        <is>
          <t>2025NE0001216</t>
        </is>
      </c>
      <c r="B127" t="inlineStr">
        <is>
          <t>8/2022</t>
        </is>
      </c>
      <c r="C127" t="inlineStr">
        <is>
          <t>15/10/2025</t>
        </is>
      </c>
      <c r="D127" t="n">
        <v>9256.1</v>
      </c>
      <c r="E127" t="inlineStr">
        <is>
          <t>Ativo</t>
        </is>
      </c>
      <c r="F127" t="inlineStr">
        <is>
          <t>Referente ao 1º Termo Aditivo ao Contrato nº 008/2022-FHAJ, cujo o objeto é a contratação de pessoa jurídica especializada para prestação de serviços de acesso à Internet Banda Larga, com IP dedicado,</t>
        </is>
      </c>
    </row>
    <row r="128">
      <c r="A128" t="inlineStr">
        <is>
          <t>2025NE0001195</t>
        </is>
      </c>
      <c r="B128" t="inlineStr">
        <is>
          <t>4/2024</t>
        </is>
      </c>
      <c r="C128" t="inlineStr">
        <is>
          <t>15/10/2025</t>
        </is>
      </c>
      <c r="D128" t="n">
        <v>2717.66</v>
      </c>
      <c r="E128" t="inlineStr">
        <is>
          <t>Ativo</t>
        </is>
      </c>
      <c r="F128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29">
      <c r="A129" t="inlineStr">
        <is>
          <t>2025NE0001197</t>
        </is>
      </c>
      <c r="B129" t="inlineStr">
        <is>
          <t>4/2024</t>
        </is>
      </c>
      <c r="C129" t="inlineStr">
        <is>
          <t>15/10/2025</t>
        </is>
      </c>
      <c r="D129" t="n">
        <v>2717.66</v>
      </c>
      <c r="E129" t="inlineStr">
        <is>
          <t>Ativo</t>
        </is>
      </c>
      <c r="F129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30">
      <c r="A130" t="inlineStr">
        <is>
          <t>2020NE00730</t>
        </is>
      </c>
      <c r="B130" t="inlineStr">
        <is>
          <t>9/2017</t>
        </is>
      </c>
      <c r="C130" t="inlineStr">
        <is>
          <t>15/05/2020</t>
        </is>
      </c>
      <c r="D130" t="n">
        <v>7550.1</v>
      </c>
      <c r="E130" t="inlineStr">
        <is>
          <t>Ativo</t>
        </is>
      </c>
      <c r="F130" t="inlineStr">
        <is>
          <t>Referente ao 3º Termo Aditivo ao Contrato nº 009/17 - Internet banda larga - período: maio/2020.</t>
        </is>
      </c>
    </row>
    <row r="131">
      <c r="A131" t="inlineStr">
        <is>
          <t>2020NE00729</t>
        </is>
      </c>
      <c r="B131" t="inlineStr">
        <is>
          <t>9/2017</t>
        </is>
      </c>
      <c r="C131" t="inlineStr">
        <is>
          <t>15/05/2020</t>
        </is>
      </c>
      <c r="D131" t="n">
        <v>91.2</v>
      </c>
      <c r="E131" t="inlineStr">
        <is>
          <t>Ativo</t>
        </is>
      </c>
      <c r="F131" t="inlineStr">
        <is>
          <t>Referente ao 3º Termo Aditivo ao Contrato nº 009/17 - Internet banda larga - período: Abril/2020 (diferença).</t>
        </is>
      </c>
    </row>
    <row r="132">
      <c r="A132" t="inlineStr">
        <is>
          <t>2016NE01142</t>
        </is>
      </c>
      <c r="B132" t="inlineStr">
        <is>
          <t>P.144/2016</t>
        </is>
      </c>
      <c r="C132" t="inlineStr">
        <is>
          <t>14/12/2016</t>
        </is>
      </c>
      <c r="D132" t="n">
        <v>3400</v>
      </c>
      <c r="E132" t="inlineStr">
        <is>
          <t>Ativo</t>
        </is>
      </c>
      <c r="F132" t="inlineStr">
        <is>
          <t>Despesas De Exercícios Anteriores, conforme RD 0440/2016, referente a serviço de acesso à Rede Mundial -Internet, NFS-e 19574, emitida em, 12/08/2016, competência 11/2015. Parecer jurídico 241/2016- A</t>
        </is>
      </c>
    </row>
    <row r="133">
      <c r="A133" t="inlineStr">
        <is>
          <t>2016NE01141</t>
        </is>
      </c>
      <c r="B133" t="inlineStr"/>
      <c r="C133" t="inlineStr">
        <is>
          <t>14/12/2016</t>
        </is>
      </c>
      <c r="D133" t="n">
        <v>3400</v>
      </c>
      <c r="E133" t="inlineStr">
        <is>
          <t>Ativo</t>
        </is>
      </c>
      <c r="F133" t="inlineStr">
        <is>
          <t>CANCELAMENTO DA NE 1123/2016 PELO MOTIVO DO NR. DO PROCESSO INCORRETO.</t>
        </is>
      </c>
    </row>
    <row r="134">
      <c r="A134" t="inlineStr">
        <is>
          <t>2021NE0000871</t>
        </is>
      </c>
      <c r="B134" t="inlineStr">
        <is>
          <t>1/2018</t>
        </is>
      </c>
      <c r="C134" t="inlineStr">
        <is>
          <t>14/07/2021</t>
        </is>
      </c>
      <c r="D134" t="n">
        <v>1678.44</v>
      </c>
      <c r="E134" t="inlineStr">
        <is>
          <t>Ativo</t>
        </is>
      </c>
      <c r="F134" t="inlineStr">
        <is>
          <t>3º TA ao CT nº 001/2018-FHAJ de serviço de confecção de páginas eletrônicas. Período: Julho/2021 (parcial).</t>
        </is>
      </c>
    </row>
    <row r="135">
      <c r="A135" t="inlineStr">
        <is>
          <t>2021NE0000872</t>
        </is>
      </c>
      <c r="B135" t="inlineStr">
        <is>
          <t>9/2017</t>
        </is>
      </c>
      <c r="C135" t="inlineStr">
        <is>
          <t>14/07/2021</t>
        </is>
      </c>
      <c r="D135" t="n">
        <v>7457.56</v>
      </c>
      <c r="E135" t="inlineStr">
        <is>
          <t>Ativo</t>
        </is>
      </c>
      <c r="F135" t="inlineStr">
        <is>
          <t>4º TA ao CT 009/2017, contratação de empresa especializada para prestação de serviços de acesso à internet Banda Larga com IP dedicado, com velocidade de 35 Mbps. Período: Julho/2021.</t>
        </is>
      </c>
    </row>
    <row r="136">
      <c r="A136" t="inlineStr">
        <is>
          <t>2024NE0000763</t>
        </is>
      </c>
      <c r="B136" t="inlineStr">
        <is>
          <t>8/2022</t>
        </is>
      </c>
      <c r="C136" t="inlineStr">
        <is>
          <t>14/06/2024</t>
        </is>
      </c>
      <c r="D136" t="n">
        <v>9256.1</v>
      </c>
      <c r="E136" t="inlineStr">
        <is>
          <t>Ativo</t>
        </is>
      </c>
      <c r="F136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37">
      <c r="A137" t="inlineStr">
        <is>
          <t>2021NE0001894</t>
        </is>
      </c>
      <c r="B137" t="inlineStr"/>
      <c r="C137" t="inlineStr">
        <is>
          <t>13/12/2021</t>
        </is>
      </c>
      <c r="D137" t="n">
        <v>821.7</v>
      </c>
      <c r="E137" t="inlineStr">
        <is>
          <t>Ativo</t>
        </is>
      </c>
      <c r="F137" t="inlineStr">
        <is>
          <t>Indenizações, referente à prestação de serviço de processamento da Folha de pagamento especial tipo 68. Período: julho/2021.</t>
        </is>
      </c>
    </row>
    <row r="138">
      <c r="A138" t="inlineStr">
        <is>
          <t>2020NE01532</t>
        </is>
      </c>
      <c r="B138" t="inlineStr">
        <is>
          <t>1/2018</t>
        </is>
      </c>
      <c r="C138" t="inlineStr">
        <is>
          <t>13/11/2020</t>
        </is>
      </c>
      <c r="D138" t="n">
        <v>1678.44</v>
      </c>
      <c r="E138" t="inlineStr">
        <is>
          <t>Ativo</t>
        </is>
      </c>
      <c r="F138" t="inlineStr">
        <is>
          <t>2º TA ao CT nº 001/2018-FHAJ de serviço de confecção de páginas eletrônicas. Período: Dezembro/2020.</t>
        </is>
      </c>
    </row>
    <row r="139">
      <c r="A139" t="inlineStr">
        <is>
          <t>2020NE01533</t>
        </is>
      </c>
      <c r="B139" t="inlineStr">
        <is>
          <t>9/2017</t>
        </is>
      </c>
      <c r="C139" t="inlineStr">
        <is>
          <t>13/11/2020</t>
        </is>
      </c>
      <c r="D139" t="n">
        <v>7550.1</v>
      </c>
      <c r="E139" t="inlineStr">
        <is>
          <t>Ativo</t>
        </is>
      </c>
      <c r="F139" t="inlineStr">
        <is>
          <t>Referente ao 3º Termo Aditivo ao Contrato nº 009/17 - Internet banda larga - período: Novembro/2020.</t>
        </is>
      </c>
    </row>
    <row r="140">
      <c r="A140" t="inlineStr">
        <is>
          <t>2020NE01531</t>
        </is>
      </c>
      <c r="B140" t="inlineStr">
        <is>
          <t>1/2018</t>
        </is>
      </c>
      <c r="C140" t="inlineStr">
        <is>
          <t>13/11/2020</t>
        </is>
      </c>
      <c r="D140" t="n">
        <v>1678.44</v>
      </c>
      <c r="E140" t="inlineStr">
        <is>
          <t>Ativo</t>
        </is>
      </c>
      <c r="F140" t="inlineStr">
        <is>
          <t>2º TA ao CT nº 001/2018-FHAJ de serviço de confecção de páginas eletrônicas. Período: Novembro/2020.</t>
        </is>
      </c>
    </row>
    <row r="141">
      <c r="A141" t="inlineStr">
        <is>
          <t>2020NE01388</t>
        </is>
      </c>
      <c r="B141" t="inlineStr">
        <is>
          <t>9/2017</t>
        </is>
      </c>
      <c r="C141" t="inlineStr">
        <is>
          <t>13/10/2020</t>
        </is>
      </c>
      <c r="D141" t="n">
        <v>7550.1</v>
      </c>
      <c r="E141" t="inlineStr">
        <is>
          <t>Ativo</t>
        </is>
      </c>
      <c r="F141" t="inlineStr">
        <is>
          <t>Referente ao 3º Termo Aditivo ao Contrato nº 009/17 - Internet banda larga - período: Outubro/2020.</t>
        </is>
      </c>
    </row>
    <row r="142">
      <c r="A142" t="inlineStr">
        <is>
          <t>2020NE01387</t>
        </is>
      </c>
      <c r="B142" t="inlineStr">
        <is>
          <t>1/2018</t>
        </is>
      </c>
      <c r="C142" t="inlineStr">
        <is>
          <t>13/10/2020</t>
        </is>
      </c>
      <c r="D142" t="n">
        <v>1678.44</v>
      </c>
      <c r="E142" t="inlineStr">
        <is>
          <t>Ativo</t>
        </is>
      </c>
      <c r="F142" t="inlineStr">
        <is>
          <t>2º TA ao CT nº 001/2018-FHAJ de serviço de confecção de páginas eletrônicas. Período: Outubro/2020.</t>
        </is>
      </c>
    </row>
    <row r="143">
      <c r="A143" t="inlineStr">
        <is>
          <t>2026NE0000189</t>
        </is>
      </c>
      <c r="B143" t="inlineStr">
        <is>
          <t>8/2022</t>
        </is>
      </c>
      <c r="C143" t="inlineStr">
        <is>
          <t>13/03/2026</t>
        </is>
      </c>
      <c r="D143" t="n">
        <v>9256</v>
      </c>
      <c r="E143" t="inlineStr">
        <is>
          <t>Ativo</t>
        </is>
      </c>
      <c r="F143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44">
      <c r="A144" t="inlineStr">
        <is>
          <t>2026NE0000188</t>
        </is>
      </c>
      <c r="B144" t="inlineStr">
        <is>
          <t>8/2022</t>
        </is>
      </c>
      <c r="C144" t="inlineStr">
        <is>
          <t>13/03/2026</t>
        </is>
      </c>
      <c r="D144" t="n">
        <v>9256</v>
      </c>
      <c r="E144" t="inlineStr">
        <is>
          <t>Ativo</t>
        </is>
      </c>
      <c r="F144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45">
      <c r="A145" t="inlineStr">
        <is>
          <t>2026NE0000190</t>
        </is>
      </c>
      <c r="B145" t="inlineStr">
        <is>
          <t>4/2024</t>
        </is>
      </c>
      <c r="C145" t="inlineStr">
        <is>
          <t>13/03/2026</t>
        </is>
      </c>
      <c r="D145" t="n">
        <v>2717.66</v>
      </c>
      <c r="E145" t="inlineStr">
        <is>
          <t>Ativo</t>
        </is>
      </c>
      <c r="F145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46">
      <c r="A146" t="inlineStr">
        <is>
          <t>2019NE00187</t>
        </is>
      </c>
      <c r="B146" t="inlineStr">
        <is>
          <t>1/2018</t>
        </is>
      </c>
      <c r="C146" t="inlineStr">
        <is>
          <t>13/03/2019</t>
        </is>
      </c>
      <c r="D146" t="n">
        <v>444.81</v>
      </c>
      <c r="E146" t="inlineStr">
        <is>
          <t>Ativo</t>
        </is>
      </c>
      <c r="F146" t="inlineStr">
        <is>
          <t>1º TA ao CT nº 001/2018-FHAJ de conteúdo WEB - PRODAM. Complemento do mês de março/2019.</t>
        </is>
      </c>
    </row>
    <row r="147">
      <c r="A147" t="inlineStr">
        <is>
          <t>2024NE0001864</t>
        </is>
      </c>
      <c r="B147" t="inlineStr">
        <is>
          <t>8/2022</t>
        </is>
      </c>
      <c r="C147" t="inlineStr">
        <is>
          <t>12/12/2024</t>
        </is>
      </c>
      <c r="D147" t="n">
        <v>18512.2</v>
      </c>
      <c r="E147" t="inlineStr">
        <is>
          <t>Ativo</t>
        </is>
      </c>
      <c r="F147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48">
      <c r="A148" t="inlineStr">
        <is>
          <t>2022NE0002375</t>
        </is>
      </c>
      <c r="B148" t="inlineStr">
        <is>
          <t>8/2022</t>
        </is>
      </c>
      <c r="C148" t="inlineStr">
        <is>
          <t>12/12/2022</t>
        </is>
      </c>
      <c r="D148" t="n">
        <v>15050.86</v>
      </c>
      <c r="E148" t="inlineStr">
        <is>
          <t>Ativo</t>
        </is>
      </c>
      <c r="F148" t="inlineStr">
        <is>
          <t>Referente ao CT 008/2022-FHAJ, serviços de acesso à Internet banda larga, com Ip dedicado. Período: Novembro e dezembro/2022.</t>
        </is>
      </c>
    </row>
    <row r="149">
      <c r="A149" t="inlineStr">
        <is>
          <t>2022NE0002368</t>
        </is>
      </c>
      <c r="B149" t="inlineStr">
        <is>
          <t>1/2018</t>
        </is>
      </c>
      <c r="C149" t="inlineStr">
        <is>
          <t>12/12/2022</t>
        </is>
      </c>
      <c r="D149" t="n">
        <v>4315.4</v>
      </c>
      <c r="E149" t="inlineStr">
        <is>
          <t>Ativo</t>
        </is>
      </c>
      <c r="F149" t="inlineStr">
        <is>
          <t>Referente ao 4º TA ao CT 001/2018-FHAJ, serviços de disponibilidade de gestor de conteúdo WEB (Publicações padrão Governo). Período: Novembro e dezembro/2022.</t>
        </is>
      </c>
    </row>
    <row r="150">
      <c r="A150" t="inlineStr">
        <is>
          <t>2016NE01122</t>
        </is>
      </c>
      <c r="B150" t="inlineStr">
        <is>
          <t>P.144/2016</t>
        </is>
      </c>
      <c r="C150" t="inlineStr">
        <is>
          <t>12/12/2016</t>
        </is>
      </c>
      <c r="D150" t="n">
        <v>3400</v>
      </c>
      <c r="E150" t="inlineStr">
        <is>
          <t>Ativo</t>
        </is>
      </c>
      <c r="F150" t="inlineStr">
        <is>
          <t>Despesas De Exercícios Anteriores, conforme RD 0439/2016, referente a serviço de acesso à Rede Mundial -Internet, NFS-e 19573, emitida em, 12/08/2016, competência 10/2015. Parecer jurídico 240/2016- A</t>
        </is>
      </c>
    </row>
    <row r="151">
      <c r="A151" t="inlineStr">
        <is>
          <t>2016NE01119</t>
        </is>
      </c>
      <c r="B151" t="inlineStr">
        <is>
          <t>P.144/2016</t>
        </is>
      </c>
      <c r="C151" t="inlineStr">
        <is>
          <t>12/12/2016</t>
        </is>
      </c>
      <c r="D151" t="n">
        <v>3400</v>
      </c>
      <c r="E151" t="inlineStr">
        <is>
          <t>Ativo</t>
        </is>
      </c>
      <c r="F151" t="inlineStr">
        <is>
          <t>Despesas De Exercícios Anteriores, conforme RD 0436/2016, referente a serviço de acesso à Rede Mundial -Internet, NFS-e 19570, emitida em, 12/08/2016, competência 07/2015. Parecer jurídico 237/2016- A</t>
        </is>
      </c>
    </row>
    <row r="152">
      <c r="A152" t="inlineStr">
        <is>
          <t>2016NE01124</t>
        </is>
      </c>
      <c r="B152" t="inlineStr">
        <is>
          <t>P.144/2016</t>
        </is>
      </c>
      <c r="C152" t="inlineStr">
        <is>
          <t>12/12/2016</t>
        </is>
      </c>
      <c r="D152" t="n">
        <v>3400</v>
      </c>
      <c r="E152" t="inlineStr">
        <is>
          <t>Ativo</t>
        </is>
      </c>
      <c r="F152" t="inlineStr">
        <is>
          <t>Despesas De Exercícios Anteriores, conforme RD 0441/2016, referente a serviço de acesso à Rede Mundial -Internet, NFS-e 19575, emitida em, 12/08/2016, competência 12/2015. Parecer jurídico 242/2016- A</t>
        </is>
      </c>
    </row>
    <row r="153">
      <c r="A153" t="inlineStr">
        <is>
          <t>2016NE01118</t>
        </is>
      </c>
      <c r="B153" t="inlineStr">
        <is>
          <t>P.144/2016</t>
        </is>
      </c>
      <c r="C153" t="inlineStr">
        <is>
          <t>12/12/2016</t>
        </is>
      </c>
      <c r="D153" t="n">
        <v>3400</v>
      </c>
      <c r="E153" t="inlineStr">
        <is>
          <t>Ativo</t>
        </is>
      </c>
      <c r="F153" t="inlineStr">
        <is>
          <t>Despesas De Exercícios Anteriores, conforme RD 0435/2016, referente a serviço de acesso à Rede Mundial -Internet, NFS-e 19569, emitida em, 12/08/2016, competência 06/2015. Parecer jurídico 435/2016- A</t>
        </is>
      </c>
    </row>
    <row r="154">
      <c r="A154" t="inlineStr">
        <is>
          <t>2016NE01123</t>
        </is>
      </c>
      <c r="B154" t="inlineStr">
        <is>
          <t>P.144/2016</t>
        </is>
      </c>
      <c r="C154" t="inlineStr">
        <is>
          <t>12/12/2016</t>
        </is>
      </c>
      <c r="D154" t="n">
        <v>3400</v>
      </c>
      <c r="E154" t="inlineStr">
        <is>
          <t>Ativo</t>
        </is>
      </c>
      <c r="F154" t="inlineStr">
        <is>
          <t>Despesas De Exercícios Anteriores, conforme RD 0440/2016, referente a serviço de acesso à Rede Mundial -Internet, NFS-e 19574, emitida em, 12/08/2016, competência 11/2015. Parecer jurídico 241/2016- A</t>
        </is>
      </c>
    </row>
    <row r="155">
      <c r="A155" t="inlineStr">
        <is>
          <t>2016NE01120</t>
        </is>
      </c>
      <c r="B155" t="inlineStr">
        <is>
          <t>P.144/2016</t>
        </is>
      </c>
      <c r="C155" t="inlineStr">
        <is>
          <t>12/12/2016</t>
        </is>
      </c>
      <c r="D155" t="n">
        <v>3400</v>
      </c>
      <c r="E155" t="inlineStr">
        <is>
          <t>Ativo</t>
        </is>
      </c>
      <c r="F155" t="inlineStr">
        <is>
          <t>Despesas De Exercícios Anteriores, conforme RD 0437/2016, referente a serviço de acesso à Rede Mundial -Internet, NFS-e 19571, emitida em, 12/08/2016, competência 08/2015. Parecer jurídico 238/2016- A</t>
        </is>
      </c>
    </row>
    <row r="156">
      <c r="A156" t="inlineStr">
        <is>
          <t>2016NE01121</t>
        </is>
      </c>
      <c r="B156" t="inlineStr">
        <is>
          <t>P.144/2016</t>
        </is>
      </c>
      <c r="C156" t="inlineStr">
        <is>
          <t>12/12/2016</t>
        </is>
      </c>
      <c r="D156" t="n">
        <v>3400</v>
      </c>
      <c r="E156" t="inlineStr">
        <is>
          <t>Ativo</t>
        </is>
      </c>
      <c r="F156" t="inlineStr">
        <is>
          <t>Despesas De Exercícios Anteriores, conforme RD 0438/2016, referente a serviço de acesso à Rede Mundial -Internet, NFS-e 19572, emitida em, 12/08/2016, competência 09/2015. Parecer jurídico 239/2016- A</t>
        </is>
      </c>
    </row>
    <row r="157">
      <c r="A157" t="inlineStr">
        <is>
          <t>2020NE01529</t>
        </is>
      </c>
      <c r="B157" t="inlineStr"/>
      <c r="C157" t="inlineStr">
        <is>
          <t>12/11/2020</t>
        </is>
      </c>
      <c r="D157" t="n">
        <v>1623.56</v>
      </c>
      <c r="E157" t="inlineStr">
        <is>
          <t>Ativo</t>
        </is>
      </c>
      <c r="F157" t="inlineStr">
        <is>
          <t>DEAS, serviço de banda larga - Internet, set/2019.</t>
        </is>
      </c>
    </row>
    <row r="158">
      <c r="A158" t="inlineStr">
        <is>
          <t>2020NE01509</t>
        </is>
      </c>
      <c r="B158" t="inlineStr">
        <is>
          <t>9/2017</t>
        </is>
      </c>
      <c r="C158" t="inlineStr">
        <is>
          <t>11/11/2020</t>
        </is>
      </c>
      <c r="D158" t="n">
        <v>7458.9</v>
      </c>
      <c r="E158" t="inlineStr">
        <is>
          <t>Ativo</t>
        </is>
      </c>
      <c r="F158" t="inlineStr">
        <is>
          <t>DEAS, serviços de banda larga - internet - ago/2019.</t>
        </is>
      </c>
    </row>
    <row r="159">
      <c r="A159" t="inlineStr">
        <is>
          <t>2020NE01510</t>
        </is>
      </c>
      <c r="B159" t="inlineStr">
        <is>
          <t>9/2017</t>
        </is>
      </c>
      <c r="C159" t="inlineStr">
        <is>
          <t>11/11/2020</t>
        </is>
      </c>
      <c r="D159" t="n">
        <v>7458.9</v>
      </c>
      <c r="E159" t="inlineStr">
        <is>
          <t>Ativo</t>
        </is>
      </c>
      <c r="F159" t="inlineStr">
        <is>
          <t>DEAS, serviços de banda larga - internet - jul/2019.</t>
        </is>
      </c>
    </row>
    <row r="160">
      <c r="A160" t="inlineStr">
        <is>
          <t>2019NE01323</t>
        </is>
      </c>
      <c r="B160" t="inlineStr">
        <is>
          <t>9/2017</t>
        </is>
      </c>
      <c r="C160" t="inlineStr">
        <is>
          <t>11/10/2019</t>
        </is>
      </c>
      <c r="D160" t="n">
        <v>14917.8</v>
      </c>
      <c r="E160" t="inlineStr">
        <is>
          <t>Ativo</t>
        </is>
      </c>
      <c r="F160" t="inlineStr">
        <is>
          <t>Referente ao 2º TA ao CT nº 009/17 - internet banda larga - maio e junho/2019.</t>
        </is>
      </c>
    </row>
    <row r="161">
      <c r="A161" t="inlineStr">
        <is>
          <t>2022NE0001434</t>
        </is>
      </c>
      <c r="B161" t="inlineStr"/>
      <c r="C161" t="inlineStr">
        <is>
          <t>11/08/2022</t>
        </is>
      </c>
      <c r="D161" t="n">
        <v>15050.86</v>
      </c>
      <c r="E161" t="inlineStr">
        <is>
          <t>Ativo</t>
        </is>
      </c>
      <c r="F161" t="inlineStr">
        <is>
          <t>Referente ao CT 008/2022-FHAJ, serviços de acesso à Internet banda larga, com Ip dedicado. Período: julho e agosto/2022.</t>
        </is>
      </c>
    </row>
    <row r="162">
      <c r="A162" t="inlineStr">
        <is>
          <t>2022NE0001433</t>
        </is>
      </c>
      <c r="B162" t="inlineStr"/>
      <c r="C162" t="inlineStr">
        <is>
          <t>11/08/2022</t>
        </is>
      </c>
      <c r="D162" t="n">
        <v>4315.4</v>
      </c>
      <c r="E162" t="inlineStr">
        <is>
          <t>Ativo</t>
        </is>
      </c>
      <c r="F162" t="inlineStr">
        <is>
          <t>Referente ao 4º TA ao CT 001/2018-FHAJ, serviços de disponibilidade de gestor de conteúdo WEB (Publicações padrão Governo). Período: julho e agosto/2022.</t>
        </is>
      </c>
    </row>
    <row r="163">
      <c r="A163" t="inlineStr">
        <is>
          <t>2015NE00443</t>
        </is>
      </c>
      <c r="B163" t="inlineStr">
        <is>
          <t>6/2011</t>
        </is>
      </c>
      <c r="C163" t="inlineStr">
        <is>
          <t>11/05/2015</t>
        </is>
      </c>
      <c r="D163" t="n">
        <v>680.3200000000001</v>
      </c>
      <c r="E163" t="inlineStr">
        <is>
          <t>Ativo</t>
        </is>
      </c>
      <c r="F163" t="inlineStr">
        <is>
          <t>PROPORCIONAL MAIO/15 - 4ºTA</t>
        </is>
      </c>
    </row>
    <row r="164">
      <c r="A164" t="inlineStr">
        <is>
          <t>2022NE0000396</t>
        </is>
      </c>
      <c r="B164" t="inlineStr">
        <is>
          <t>8/2022</t>
        </is>
      </c>
      <c r="C164" t="inlineStr">
        <is>
          <t>11/03/2022</t>
        </is>
      </c>
      <c r="D164" t="n">
        <v>6214.4</v>
      </c>
      <c r="E164" t="inlineStr">
        <is>
          <t>Ativo</t>
        </is>
      </c>
      <c r="F164" t="inlineStr">
        <is>
          <t>Referente à contratação de empresa para prestação, de forma dedicada, de serviço de acesso à internet por fibra óptica com garantia de 100% em download e upload, conforme projeto básico. Período: 06 a</t>
        </is>
      </c>
    </row>
    <row r="165">
      <c r="A165" t="inlineStr">
        <is>
          <t>2020NE00438</t>
        </is>
      </c>
      <c r="B165" t="inlineStr">
        <is>
          <t>9/2017</t>
        </is>
      </c>
      <c r="C165" t="inlineStr">
        <is>
          <t>11/03/2020</t>
        </is>
      </c>
      <c r="D165" t="n">
        <v>6291.75</v>
      </c>
      <c r="E165" t="inlineStr">
        <is>
          <t>Ativo</t>
        </is>
      </c>
      <c r="F165" t="inlineStr">
        <is>
          <t>Referente ao 3º Termo Aditivo ao Contrato nº 009/17 - Internet banda larga - período: 06 a 31/03/2020.</t>
        </is>
      </c>
    </row>
    <row r="166">
      <c r="A166" t="inlineStr">
        <is>
          <t>2020NE00434</t>
        </is>
      </c>
      <c r="B166" t="inlineStr"/>
      <c r="C166" t="inlineStr">
        <is>
          <t>11/03/2020</t>
        </is>
      </c>
      <c r="D166" t="n">
        <v>6215.75</v>
      </c>
      <c r="E166" t="inlineStr">
        <is>
          <t>Ativo</t>
        </is>
      </c>
      <c r="F166" t="inlineStr">
        <is>
          <t>Anulação parcial da NE00004/2020, pelo motivo do valor total incorreto.</t>
        </is>
      </c>
    </row>
    <row r="167">
      <c r="A167" t="inlineStr">
        <is>
          <t>2021NE0001618</t>
        </is>
      </c>
      <c r="B167" t="inlineStr">
        <is>
          <t>1/2018</t>
        </is>
      </c>
      <c r="C167" t="inlineStr">
        <is>
          <t>10/11/2021</t>
        </is>
      </c>
      <c r="D167" t="n">
        <v>301.11</v>
      </c>
      <c r="E167" t="inlineStr">
        <is>
          <t>Ativo</t>
        </is>
      </c>
      <c r="F167" t="inlineStr">
        <is>
          <t>3º TA ao CT nº 001/2018-FHAJ de serviço de confecção de páginas eletrônicas. Período: Janeiro/2021 (complemento).</t>
        </is>
      </c>
    </row>
    <row r="168">
      <c r="A168" t="inlineStr">
        <is>
          <t>2020NE01508</t>
        </is>
      </c>
      <c r="B168" t="inlineStr"/>
      <c r="C168" t="inlineStr">
        <is>
          <t>10/11/2020</t>
        </is>
      </c>
      <c r="D168" t="n">
        <v>7458.9</v>
      </c>
      <c r="E168" t="inlineStr">
        <is>
          <t>Ativo</t>
        </is>
      </c>
      <c r="F168" t="inlineStr">
        <is>
          <t>DEAS, serviços de banda larga - internet - set/2019.</t>
        </is>
      </c>
    </row>
    <row r="169">
      <c r="A169" t="inlineStr">
        <is>
          <t>2020NE01507</t>
        </is>
      </c>
      <c r="B169" t="inlineStr"/>
      <c r="C169" t="inlineStr">
        <is>
          <t>10/11/2020</t>
        </is>
      </c>
      <c r="D169" t="n">
        <v>7458.9</v>
      </c>
      <c r="E169" t="inlineStr">
        <is>
          <t>Ativo</t>
        </is>
      </c>
      <c r="F169" t="inlineStr">
        <is>
          <t>DEAS, serviços de banda larga - internet - out/2019.</t>
        </is>
      </c>
    </row>
    <row r="170">
      <c r="A170" t="inlineStr">
        <is>
          <t>2020NE01506</t>
        </is>
      </c>
      <c r="B170" t="inlineStr"/>
      <c r="C170" t="inlineStr">
        <is>
          <t>10/11/2020</t>
        </is>
      </c>
      <c r="D170" t="n">
        <v>7458.9</v>
      </c>
      <c r="E170" t="inlineStr">
        <is>
          <t>Ativo</t>
        </is>
      </c>
      <c r="F170" t="inlineStr">
        <is>
          <t>DEAS, serviços de banda larga - internet - nov/2019.</t>
        </is>
      </c>
    </row>
    <row r="171">
      <c r="A171" t="inlineStr">
        <is>
          <t>2020NE01503</t>
        </is>
      </c>
      <c r="B171" t="inlineStr"/>
      <c r="C171" t="inlineStr">
        <is>
          <t>10/11/2020</t>
        </is>
      </c>
      <c r="D171" t="n">
        <v>1623.56</v>
      </c>
      <c r="E171" t="inlineStr">
        <is>
          <t>Ativo</t>
        </is>
      </c>
      <c r="F171" t="inlineStr">
        <is>
          <t>DEAS, serviços de banda larga - internet - out/2019.</t>
        </is>
      </c>
    </row>
    <row r="172">
      <c r="A172" t="inlineStr">
        <is>
          <t>2020NE01505</t>
        </is>
      </c>
      <c r="B172" t="inlineStr"/>
      <c r="C172" t="inlineStr">
        <is>
          <t>10/11/2020</t>
        </is>
      </c>
      <c r="D172" t="n">
        <v>7458.9</v>
      </c>
      <c r="E172" t="inlineStr">
        <is>
          <t>Ativo</t>
        </is>
      </c>
      <c r="F172" t="inlineStr">
        <is>
          <t>DEAS, serviços de banda larga - internet - dez/2019.</t>
        </is>
      </c>
    </row>
    <row r="173">
      <c r="A173" t="inlineStr">
        <is>
          <t>2020NE01504</t>
        </is>
      </c>
      <c r="B173" t="inlineStr"/>
      <c r="C173" t="inlineStr">
        <is>
          <t>10/11/2020</t>
        </is>
      </c>
      <c r="D173" t="n">
        <v>1623.56</v>
      </c>
      <c r="E173" t="inlineStr">
        <is>
          <t>Ativo</t>
        </is>
      </c>
      <c r="F173" t="inlineStr">
        <is>
          <t>DEAS, serviços de banda larga - internet - ago/2019.</t>
        </is>
      </c>
    </row>
    <row r="174">
      <c r="A174" t="inlineStr">
        <is>
          <t>2020NE01501</t>
        </is>
      </c>
      <c r="B174" t="inlineStr"/>
      <c r="C174" t="inlineStr">
        <is>
          <t>10/11/2020</t>
        </is>
      </c>
      <c r="D174" t="n">
        <v>1623.56</v>
      </c>
      <c r="E174" t="inlineStr">
        <is>
          <t>Ativo</t>
        </is>
      </c>
      <c r="F174" t="inlineStr">
        <is>
          <t>DEAS, serviços de banda larga - internet - dez/2019.</t>
        </is>
      </c>
    </row>
    <row r="175">
      <c r="A175" t="inlineStr">
        <is>
          <t>2020NE01502</t>
        </is>
      </c>
      <c r="B175" t="inlineStr"/>
      <c r="C175" t="inlineStr">
        <is>
          <t>10/11/2020</t>
        </is>
      </c>
      <c r="D175" t="n">
        <v>1623.56</v>
      </c>
      <c r="E175" t="inlineStr">
        <is>
          <t>Ativo</t>
        </is>
      </c>
      <c r="F175" t="inlineStr">
        <is>
          <t>DEAS, serviços de banda larga - internet - nov/2019.</t>
        </is>
      </c>
    </row>
    <row r="176">
      <c r="A176" t="inlineStr">
        <is>
          <t>2016NE01031</t>
        </is>
      </c>
      <c r="B176" t="inlineStr">
        <is>
          <t>6/2011</t>
        </is>
      </c>
      <c r="C176" t="inlineStr">
        <is>
          <t>09/11/2016</t>
        </is>
      </c>
      <c r="D176" t="n">
        <v>748.35</v>
      </c>
      <c r="E176" t="inlineStr">
        <is>
          <t>Ativo</t>
        </is>
      </c>
      <c r="F176" t="inlineStr">
        <is>
          <t>Referente ao 6º Termo Aditivo ao Contrato nº 006/2011-FHAJ, serviços de informática para confecção de páginas eletrônicas.</t>
        </is>
      </c>
    </row>
    <row r="177">
      <c r="A177" t="inlineStr">
        <is>
          <t>2015NE01081</t>
        </is>
      </c>
      <c r="B177" t="inlineStr">
        <is>
          <t>6/2011</t>
        </is>
      </c>
      <c r="C177" t="inlineStr">
        <is>
          <t>09/11/2015</t>
        </is>
      </c>
      <c r="D177" t="n">
        <v>714.34</v>
      </c>
      <c r="E177" t="inlineStr">
        <is>
          <t>Ativo</t>
        </is>
      </c>
      <c r="F177" t="inlineStr">
        <is>
          <t>Referente ao 5º Termo Aditivo ao Contrato nº 006/2011-FHAJ, contratação de serviços de desenvolvimento, confecções, hospedagem de páginas eletrônicas e site institucional da FHAJ.</t>
        </is>
      </c>
    </row>
    <row r="178">
      <c r="A178" t="inlineStr">
        <is>
          <t>2021NE0000369</t>
        </is>
      </c>
      <c r="B178" t="inlineStr">
        <is>
          <t>9/2017</t>
        </is>
      </c>
      <c r="C178" t="inlineStr">
        <is>
          <t>09/04/2021</t>
        </is>
      </c>
      <c r="D178" t="n">
        <v>7457.76</v>
      </c>
      <c r="E178" t="inlineStr">
        <is>
          <t>Ativo</t>
        </is>
      </c>
      <c r="F178" t="inlineStr">
        <is>
          <t>4º TA ao CT 009/2017, contratação de empresa especializada para prestação de serviços de acesso à internet Banda Larga com IP dedicado, com velocidade de 35 Mbps. Período: Abril/2021.</t>
        </is>
      </c>
    </row>
    <row r="179">
      <c r="A179" t="inlineStr">
        <is>
          <t>2021NE0000368</t>
        </is>
      </c>
      <c r="B179" t="inlineStr">
        <is>
          <t>1/2018</t>
        </is>
      </c>
      <c r="C179" t="inlineStr">
        <is>
          <t>09/04/2021</t>
        </is>
      </c>
      <c r="D179" t="n">
        <v>5035.32</v>
      </c>
      <c r="E179" t="inlineStr">
        <is>
          <t>Ativo</t>
        </is>
      </c>
      <c r="F179" t="inlineStr">
        <is>
          <t>3º TA ao CT nº 001/2018-FHAJ de serviço de confecção de páginas eletrônicas. Período: Fevereiro a abril/2021.</t>
        </is>
      </c>
    </row>
    <row r="180">
      <c r="A180" t="inlineStr">
        <is>
          <t>2026NE0000162</t>
        </is>
      </c>
      <c r="B180" t="inlineStr">
        <is>
          <t>8/2022</t>
        </is>
      </c>
      <c r="C180" t="inlineStr">
        <is>
          <t>09/03/2026</t>
        </is>
      </c>
      <c r="D180" t="n">
        <v>9256</v>
      </c>
      <c r="E180" t="inlineStr">
        <is>
          <t>Ativo</t>
        </is>
      </c>
      <c r="F180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181">
      <c r="A181" t="inlineStr">
        <is>
          <t>2024NE0001702</t>
        </is>
      </c>
      <c r="B181" t="inlineStr">
        <is>
          <t>4/2024</t>
        </is>
      </c>
      <c r="C181" t="inlineStr">
        <is>
          <t>08/11/2024</t>
        </is>
      </c>
      <c r="D181" t="n">
        <v>2717.66</v>
      </c>
      <c r="E181" t="inlineStr">
        <is>
          <t>Ativo</t>
        </is>
      </c>
      <c r="F181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182">
      <c r="A182" t="inlineStr">
        <is>
          <t>2021NE0001589</t>
        </is>
      </c>
      <c r="B182" t="inlineStr">
        <is>
          <t>9/2017</t>
        </is>
      </c>
      <c r="C182" t="inlineStr">
        <is>
          <t>08/11/2021</t>
        </is>
      </c>
      <c r="D182" t="n">
        <v>7457.56</v>
      </c>
      <c r="E182" t="inlineStr">
        <is>
          <t>Ativo</t>
        </is>
      </c>
      <c r="F182" t="inlineStr">
        <is>
          <t>4º TA ao CT 009/2017, contratação de empresa especializada para prestação de serviços de acesso à internet Banda Larga com IP dedicado, com velocidade de 35 Mbps. Período: outubro/2021.</t>
        </is>
      </c>
    </row>
    <row r="183">
      <c r="A183" t="inlineStr">
        <is>
          <t>2021NE0001590</t>
        </is>
      </c>
      <c r="B183" t="inlineStr">
        <is>
          <t>1/2018</t>
        </is>
      </c>
      <c r="C183" t="inlineStr">
        <is>
          <t>08/11/2021</t>
        </is>
      </c>
      <c r="D183" t="n">
        <v>1678.44</v>
      </c>
      <c r="E183" t="inlineStr">
        <is>
          <t>Ativo</t>
        </is>
      </c>
      <c r="F183" t="inlineStr">
        <is>
          <t>3º TA ao CT nº 001/2018-FHAJ de serviço de confecção de páginas eletrônicas. Período: outubro/2021 (parcial).</t>
        </is>
      </c>
    </row>
    <row r="184">
      <c r="A184" t="inlineStr">
        <is>
          <t>2020NE00836</t>
        </is>
      </c>
      <c r="B184" t="inlineStr">
        <is>
          <t>9/2017</t>
        </is>
      </c>
      <c r="C184" t="inlineStr">
        <is>
          <t>08/06/2020</t>
        </is>
      </c>
      <c r="D184" t="n">
        <v>1243.15</v>
      </c>
      <c r="E184" t="inlineStr">
        <is>
          <t>Ativo</t>
        </is>
      </c>
      <c r="F184" t="inlineStr">
        <is>
          <t>Referente ao 3º Termo Aditivo ao Contrato nº 009/17 - Internet banda larga - período: 06 a 31/03/2020 (complemento).</t>
        </is>
      </c>
    </row>
    <row r="185">
      <c r="A185" t="inlineStr">
        <is>
          <t>2017NE00499</t>
        </is>
      </c>
      <c r="B185" t="inlineStr">
        <is>
          <t>4/2012</t>
        </is>
      </c>
      <c r="C185" t="inlineStr">
        <is>
          <t>08/06/2017</t>
        </is>
      </c>
      <c r="D185" t="n">
        <v>797.62</v>
      </c>
      <c r="E185" t="inlineStr">
        <is>
          <t>Ativo</t>
        </is>
      </c>
      <c r="F185" t="inlineStr">
        <is>
          <t>Referente ao 5º Termo Aditivo ao Contrato nº 004/2012-FHAJ, serv. de implantação do sistema SIGS- Sistema Inteligente de Controle de Senhas.</t>
        </is>
      </c>
    </row>
    <row r="186">
      <c r="A186" t="inlineStr">
        <is>
          <t>2017NE00500</t>
        </is>
      </c>
      <c r="B186" t="inlineStr">
        <is>
          <t>6/2011</t>
        </is>
      </c>
      <c r="C186" t="inlineStr">
        <is>
          <t>08/06/2017</t>
        </is>
      </c>
      <c r="D186" t="n">
        <v>2040</v>
      </c>
      <c r="E186" t="inlineStr">
        <is>
          <t>Ativo</t>
        </is>
      </c>
      <c r="F186" t="inlineStr">
        <is>
          <t>Referente ao 6º Termo Aditivo ao Contrato nº 006/2011-FHAJ, prestação de serv. de desenvolvimento, confecção e implantação de de páginas eletrônicas e hospedagem de site institucional.</t>
        </is>
      </c>
    </row>
    <row r="187">
      <c r="A187" t="inlineStr">
        <is>
          <t>2020NE00708</t>
        </is>
      </c>
      <c r="B187" t="inlineStr">
        <is>
          <t>1/2018</t>
        </is>
      </c>
      <c r="C187" t="inlineStr">
        <is>
          <t>08/05/2020</t>
        </is>
      </c>
      <c r="D187" t="n">
        <v>1678.44</v>
      </c>
      <c r="E187" t="inlineStr">
        <is>
          <t>Ativo</t>
        </is>
      </c>
      <c r="F187" t="inlineStr">
        <is>
          <t>2º TA ao CT nº 001/2018-FHAJ de serviço de confecção de páginas eletrônicas. Período: Complemento de abril (R$ 219,52) e parcial de maio/2020 (R$ 1.458,92).</t>
        </is>
      </c>
    </row>
    <row r="188">
      <c r="A188" t="inlineStr">
        <is>
          <t>2015NE00436</t>
        </is>
      </c>
      <c r="B188" t="inlineStr">
        <is>
          <t>6/2011</t>
        </is>
      </c>
      <c r="C188" t="inlineStr">
        <is>
          <t>08/05/2015</t>
        </is>
      </c>
      <c r="D188" t="n">
        <v>374.17</v>
      </c>
      <c r="E188" t="inlineStr">
        <is>
          <t>Ativo</t>
        </is>
      </c>
      <c r="F188" t="inlineStr">
        <is>
          <t>cobertura maio 2015</t>
        </is>
      </c>
    </row>
    <row r="189">
      <c r="A189" t="inlineStr">
        <is>
          <t>2015NE00376</t>
        </is>
      </c>
      <c r="B189" t="inlineStr">
        <is>
          <t>12/2010</t>
        </is>
      </c>
      <c r="C189" t="inlineStr">
        <is>
          <t>08/05/2015</t>
        </is>
      </c>
      <c r="D189" t="n">
        <v>9390.08</v>
      </c>
      <c r="E189" t="inlineStr">
        <is>
          <t>Ativo</t>
        </is>
      </c>
      <c r="F189" t="inlineStr">
        <is>
          <t>Reforço a NE00034/2015, 4º Termo Aditivo ao Contrato nº 12/2010-FHAJ, referente a serviços de acesso a Internet.</t>
        </is>
      </c>
    </row>
    <row r="190">
      <c r="A190" t="inlineStr">
        <is>
          <t>2015NE00355</t>
        </is>
      </c>
      <c r="B190" t="inlineStr">
        <is>
          <t>6/2011</t>
        </is>
      </c>
      <c r="C190" t="inlineStr">
        <is>
          <t>08/05/2015</t>
        </is>
      </c>
      <c r="D190" t="n">
        <v>1020.49</v>
      </c>
      <c r="E190" t="inlineStr">
        <is>
          <t>Ativo</t>
        </is>
      </c>
      <c r="F190" t="inlineStr">
        <is>
          <t>Referente ao complemento da NE00060/2015, 3º Termo Aditivo ao Contrato nº 006/201-FHAJ, prestação de serviços para confecção de páginas eletrônicas e hospedagem de site institucional.</t>
        </is>
      </c>
    </row>
    <row r="191">
      <c r="A191" t="inlineStr">
        <is>
          <t>2015NE00353</t>
        </is>
      </c>
      <c r="B191" t="inlineStr">
        <is>
          <t>4/2012</t>
        </is>
      </c>
      <c r="C191" t="inlineStr">
        <is>
          <t>08/05/2015</t>
        </is>
      </c>
      <c r="D191" t="n">
        <v>398.81</v>
      </c>
      <c r="E191" t="inlineStr">
        <is>
          <t>Ativo</t>
        </is>
      </c>
      <c r="F191" t="inlineStr">
        <is>
          <t>Reforço a NE00093/2015, 3º Termo Aditivo ao Contrato nº 004/2012-FHAJ, serviços serviço de implantação de software.</t>
        </is>
      </c>
    </row>
    <row r="192">
      <c r="A192" t="inlineStr">
        <is>
          <t>2015NE00350</t>
        </is>
      </c>
      <c r="B192" t="inlineStr">
        <is>
          <t>11/2011</t>
        </is>
      </c>
      <c r="C192" t="inlineStr">
        <is>
          <t>08/05/2015</t>
        </is>
      </c>
      <c r="D192" t="n">
        <v>5279</v>
      </c>
      <c r="E192" t="inlineStr">
        <is>
          <t>Ativo</t>
        </is>
      </c>
      <c r="F192" t="inlineStr">
        <is>
          <t>Reforço a NE00035/2015, 3º Termo Aditivo ao Contrato nº 011/2011-FHAJ, serviços eventuais de informática.</t>
        </is>
      </c>
    </row>
    <row r="193">
      <c r="A193" t="inlineStr">
        <is>
          <t>2023NE0000280</t>
        </is>
      </c>
      <c r="B193" t="inlineStr">
        <is>
          <t>8/2022</t>
        </is>
      </c>
      <c r="C193" t="inlineStr">
        <is>
          <t>08/03/2023</t>
        </is>
      </c>
      <c r="D193" t="n">
        <v>7525.43</v>
      </c>
      <c r="E193" t="inlineStr">
        <is>
          <t>Ativo</t>
        </is>
      </c>
      <c r="F193" t="inlineStr">
        <is>
          <t>Referente ao CT 008/2022-FHAJ, serviços de acesso à Internet banda larga, com Ip dedicado. Período: Março/2023.</t>
        </is>
      </c>
    </row>
    <row r="194">
      <c r="A194" t="inlineStr">
        <is>
          <t>2021NE0001871</t>
        </is>
      </c>
      <c r="B194" t="inlineStr"/>
      <c r="C194" t="inlineStr">
        <is>
          <t>07/12/2021</t>
        </is>
      </c>
      <c r="D194" t="n">
        <v>817.14</v>
      </c>
      <c r="E194" t="inlineStr">
        <is>
          <t>Ativo</t>
        </is>
      </c>
      <c r="F194" t="inlineStr">
        <is>
          <t>Indenizações, prestação de serviço de processamento da Folha de pagamento especial tipo 68. Período: maio/2021.</t>
        </is>
      </c>
    </row>
    <row r="195">
      <c r="A195" t="inlineStr">
        <is>
          <t>2016NE01107</t>
        </is>
      </c>
      <c r="B195" t="inlineStr">
        <is>
          <t>11/2011</t>
        </is>
      </c>
      <c r="C195" t="inlineStr">
        <is>
          <t>07/12/2016</t>
        </is>
      </c>
      <c r="D195" t="n">
        <v>3081.37</v>
      </c>
      <c r="E195" t="inlineStr">
        <is>
          <t>Ativo</t>
        </is>
      </c>
      <c r="F195" t="inlineStr">
        <is>
          <t>Despesas De Exercicios Anteriores, RD00276/16, SC00432/16, Referente a prestação de serviços de manutenção corretiva e preventiva em equipamentos de automação de escritório no período de outubro/14, C</t>
        </is>
      </c>
    </row>
    <row r="196">
      <c r="A196" t="inlineStr">
        <is>
          <t>2016NE01098</t>
        </is>
      </c>
      <c r="B196" t="inlineStr">
        <is>
          <t>6/2011</t>
        </is>
      </c>
      <c r="C196" t="inlineStr">
        <is>
          <t>07/12/2016</t>
        </is>
      </c>
      <c r="D196" t="n">
        <v>1020.49</v>
      </c>
      <c r="E196" t="inlineStr">
        <is>
          <t>Ativo</t>
        </is>
      </c>
      <c r="F196" t="inlineStr">
        <is>
          <t>Despesas De Exercícios Anteriores - RD 181/2016 - NFS 15160, de 15/07/2015 - Ref. Contrato 06/2011, Serviço de hospedagem de site, competência Junho/2015.</t>
        </is>
      </c>
    </row>
    <row r="197">
      <c r="A197" t="inlineStr">
        <is>
          <t>2016NE01095</t>
        </is>
      </c>
      <c r="B197" t="inlineStr">
        <is>
          <t>6/2011</t>
        </is>
      </c>
      <c r="C197" t="inlineStr">
        <is>
          <t>07/12/2016</t>
        </is>
      </c>
      <c r="D197" t="n">
        <v>1020.49</v>
      </c>
      <c r="E197" t="inlineStr">
        <is>
          <t>Ativo</t>
        </is>
      </c>
      <c r="F197" t="inlineStr">
        <is>
          <t>Despesas De Exercícios Anteriores - RD 178/2016 - NFS 15799, de 15/09/2015 - Ref. Contrato 06/2011, Serviço de hospedagem de site, competência Setembro/2015.</t>
        </is>
      </c>
    </row>
    <row r="198">
      <c r="A198" t="inlineStr">
        <is>
          <t>2016NE01105</t>
        </is>
      </c>
      <c r="B198" t="inlineStr">
        <is>
          <t>11/2011</t>
        </is>
      </c>
      <c r="C198" t="inlineStr">
        <is>
          <t>07/12/2016</t>
        </is>
      </c>
      <c r="D198" t="n">
        <v>5175.24</v>
      </c>
      <c r="E198" t="inlineStr">
        <is>
          <t>Ativo</t>
        </is>
      </c>
      <c r="F198" t="inlineStr">
        <is>
          <t>Despesas De Exercicios Anteriores, RD00278/16, SC420/16, referente a prestação de serviço de manutenção corretiva e preventiva em equipamentos de automação de escritório no período de novembro/2014, C</t>
        </is>
      </c>
    </row>
    <row r="199">
      <c r="A199" t="inlineStr">
        <is>
          <t>2016NE01096</t>
        </is>
      </c>
      <c r="B199" t="inlineStr">
        <is>
          <t>6/2011</t>
        </is>
      </c>
      <c r="C199" t="inlineStr">
        <is>
          <t>07/12/2016</t>
        </is>
      </c>
      <c r="D199" t="n">
        <v>1020.49</v>
      </c>
      <c r="E199" t="inlineStr">
        <is>
          <t>Ativo</t>
        </is>
      </c>
      <c r="F199" t="inlineStr">
        <is>
          <t>Despesas De Exercícios Anteriores - RD 179/2016 - NFS 15335, de 13/08/2015 - Ref. Contrato 06/2011, Serviço de hospedagem de site, competência Agosto/2015.</t>
        </is>
      </c>
    </row>
    <row r="200">
      <c r="A200" t="inlineStr">
        <is>
          <t>2016NE01109</t>
        </is>
      </c>
      <c r="B200" t="inlineStr">
        <is>
          <t>4/2012</t>
        </is>
      </c>
      <c r="C200" t="inlineStr">
        <is>
          <t>07/12/2016</t>
        </is>
      </c>
      <c r="D200" t="n">
        <v>398.81</v>
      </c>
      <c r="E200" t="inlineStr">
        <is>
          <t>Ativo</t>
        </is>
      </c>
      <c r="F200" t="inlineStr">
        <is>
          <t>Despesas De Exercicios Anteriores, RD00117/16, SC00431/16, referente a prestação de serviços de manut. de sistemas de informatica desenvolvido por terceiros - manutenção mensal do sistema SICS - Siste</t>
        </is>
      </c>
    </row>
    <row r="201">
      <c r="A201" t="inlineStr">
        <is>
          <t>2016NE01081</t>
        </is>
      </c>
      <c r="B201" t="inlineStr">
        <is>
          <t>12/2010</t>
        </is>
      </c>
      <c r="C201" t="inlineStr">
        <is>
          <t>07/12/2016</t>
        </is>
      </c>
      <c r="D201" t="n">
        <v>9895.27</v>
      </c>
      <c r="E201" t="inlineStr">
        <is>
          <t>Ativo</t>
        </is>
      </c>
      <c r="F201" t="inlineStr">
        <is>
          <t>Despesas De Exercícios Anteriores - RD 99/2016 - NFS 14497, de 12/05/2017 - Ref. Contrato 12/2010, Serviço de acesso a rede de internet, competência Maio/2015</t>
        </is>
      </c>
    </row>
    <row r="202">
      <c r="A202" t="inlineStr">
        <is>
          <t>2016NE01103</t>
        </is>
      </c>
      <c r="B202" t="inlineStr">
        <is>
          <t>11/2011</t>
        </is>
      </c>
      <c r="C202" t="inlineStr">
        <is>
          <t>07/12/2016</t>
        </is>
      </c>
      <c r="D202" t="n">
        <v>2035.16</v>
      </c>
      <c r="E202" t="inlineStr">
        <is>
          <t>Ativo</t>
        </is>
      </c>
      <c r="F202" t="inlineStr">
        <is>
          <t>Despesas De Exercícios Anteriores - RD 260/2016 - NFS 12236, de 20/10/2014 - Ref. Contrato 11/2011, Serviço de assistência técnica em software.</t>
        </is>
      </c>
    </row>
    <row r="203">
      <c r="A203" t="inlineStr">
        <is>
          <t>2016NE01104</t>
        </is>
      </c>
      <c r="B203" t="inlineStr">
        <is>
          <t>11/2011</t>
        </is>
      </c>
      <c r="C203" t="inlineStr">
        <is>
          <t>07/12/2016</t>
        </is>
      </c>
      <c r="D203" t="n">
        <v>5232.92</v>
      </c>
      <c r="E203" t="inlineStr">
        <is>
          <t>Ativo</t>
        </is>
      </c>
      <c r="F203" t="inlineStr">
        <is>
          <t>Despesas De Exercícios Anteriores - RD 277/2016 - NFS 12881, de 11/12/2014 - Ref. Contrato 11/2011, Serviço eventuais de informática, competência Dezembro/2014.</t>
        </is>
      </c>
    </row>
    <row r="204">
      <c r="A204" t="inlineStr">
        <is>
          <t>2016NE01086</t>
        </is>
      </c>
      <c r="B204" t="inlineStr">
        <is>
          <t>6/2011</t>
        </is>
      </c>
      <c r="C204" t="inlineStr">
        <is>
          <t>07/12/2016</t>
        </is>
      </c>
      <c r="D204" t="n">
        <v>1020.49</v>
      </c>
      <c r="E204" t="inlineStr">
        <is>
          <t>Ativo</t>
        </is>
      </c>
      <c r="F204" t="inlineStr">
        <is>
          <t>Despesas De Exercícios Anteriores - RD 107/2016 - NFS 17305, de 19/01/2016 - Ref. Contrato 06/2011, Serviço de hospedagem de site, competência Dezembro/2015.</t>
        </is>
      </c>
    </row>
    <row r="205">
      <c r="A205" t="inlineStr">
        <is>
          <t>2016NE01099</t>
        </is>
      </c>
      <c r="B205" t="inlineStr">
        <is>
          <t>4/2012</t>
        </is>
      </c>
      <c r="C205" t="inlineStr">
        <is>
          <t>07/12/2016</t>
        </is>
      </c>
      <c r="D205" t="n">
        <v>398.81</v>
      </c>
      <c r="E205" t="inlineStr">
        <is>
          <t>Ativo</t>
        </is>
      </c>
      <c r="F205" t="inlineStr">
        <is>
          <t>Despesas De Exercícios Anteriores - RD 182/2016 - NFS 16837, de 02/12/2015 - Ref. Contrato 04/2012, Serviço de manutenção do Sistema SICS, competência Dezembro/2015.</t>
        </is>
      </c>
    </row>
    <row r="206">
      <c r="A206" t="inlineStr">
        <is>
          <t>2016NE01102</t>
        </is>
      </c>
      <c r="B206" t="inlineStr">
        <is>
          <t>12/2010</t>
        </is>
      </c>
      <c r="C206" t="inlineStr">
        <is>
          <t>07/12/2016</t>
        </is>
      </c>
      <c r="D206" t="n">
        <v>9895.27</v>
      </c>
      <c r="E206" t="inlineStr">
        <is>
          <t>Ativo</t>
        </is>
      </c>
      <c r="F206" t="inlineStr">
        <is>
          <t>Despesas De Exercícios Anteriores - RD 258/2016 - NFS 12100, de 13/10/2014 - Ref. Contrato 12/2010, Serviço de acesso a internet -Banda Larga, competência Outubro/2014.</t>
        </is>
      </c>
    </row>
    <row r="207">
      <c r="A207" t="inlineStr">
        <is>
          <t>2016NE01100</t>
        </is>
      </c>
      <c r="B207" t="inlineStr">
        <is>
          <t>12/2010</t>
        </is>
      </c>
      <c r="C207" t="inlineStr">
        <is>
          <t>07/12/2016</t>
        </is>
      </c>
      <c r="D207" t="n">
        <v>9895.27</v>
      </c>
      <c r="E207" t="inlineStr">
        <is>
          <t>Ativo</t>
        </is>
      </c>
      <c r="F207" t="inlineStr">
        <is>
          <t>Despesas De Exercícios Anteriores - RD 256/2016 - NFS 12463, de 13/11/2014 - Ref. Contrato 12/2010, Serviço de acesso a internet -Banda Larga, competência Novembro/2014.</t>
        </is>
      </c>
    </row>
    <row r="208">
      <c r="A208" t="inlineStr">
        <is>
          <t>2016NE01090</t>
        </is>
      </c>
      <c r="B208" t="inlineStr">
        <is>
          <t>4/2012</t>
        </is>
      </c>
      <c r="C208" t="inlineStr">
        <is>
          <t>07/12/2016</t>
        </is>
      </c>
      <c r="D208" t="n">
        <v>398.81</v>
      </c>
      <c r="E208" t="inlineStr">
        <is>
          <t>Ativo</t>
        </is>
      </c>
      <c r="F208" t="inlineStr">
        <is>
          <t>Despesas De Exercícios Anteriores - RD 111/2016 - NFS 15800, de 15/09/2015 - Ref. Contrato 04/2012, Serviço de manutenção sistema SICS, competência Setembro/2015.</t>
        </is>
      </c>
    </row>
    <row r="209">
      <c r="A209" t="inlineStr">
        <is>
          <t>2016NE01091</t>
        </is>
      </c>
      <c r="B209" t="inlineStr">
        <is>
          <t>4/2012</t>
        </is>
      </c>
      <c r="C209" t="inlineStr">
        <is>
          <t>07/12/2016</t>
        </is>
      </c>
      <c r="D209" t="n">
        <v>398.81</v>
      </c>
      <c r="E209" t="inlineStr">
        <is>
          <t>Ativo</t>
        </is>
      </c>
      <c r="F209" t="inlineStr">
        <is>
          <t>Despesas De Exercícios Anteriores - RD 115/2016 - NFS 16209, de 13/10/2015 - Ref. Contrato 04/2012, Serviço de manutenção sistema SICS, competência Outubro/2015.</t>
        </is>
      </c>
    </row>
    <row r="210">
      <c r="A210" t="inlineStr">
        <is>
          <t>2016NE01083</t>
        </is>
      </c>
      <c r="B210" t="inlineStr">
        <is>
          <t>6/2011</t>
        </is>
      </c>
      <c r="C210" t="inlineStr">
        <is>
          <t>07/12/2016</t>
        </is>
      </c>
      <c r="D210" t="n">
        <v>306.15</v>
      </c>
      <c r="E210" t="inlineStr">
        <is>
          <t>Ativo</t>
        </is>
      </c>
      <c r="F210" t="inlineStr">
        <is>
          <t>Despesas De Exercícios Anteriores - RD 100/2016 - NFS 16508, de 10/11/2015 - Ref. Contrato 06/2011, Serviço de hospedagem de site, competência Novembro/2015</t>
        </is>
      </c>
    </row>
    <row r="211">
      <c r="A211" t="inlineStr">
        <is>
          <t>2016NE01108</t>
        </is>
      </c>
      <c r="B211" t="inlineStr">
        <is>
          <t>6/2011</t>
        </is>
      </c>
      <c r="C211" t="inlineStr">
        <is>
          <t>07/12/2016</t>
        </is>
      </c>
      <c r="D211" t="n">
        <v>986.48</v>
      </c>
      <c r="E211" t="inlineStr">
        <is>
          <t>Ativo</t>
        </is>
      </c>
      <c r="F211" t="inlineStr">
        <is>
          <t>Reforço - Referente ao 6º Termo Aditivo ao Contrato nº 006/2011-FHAJ, serviços de informática para confecção de páginas eletrônicas.</t>
        </is>
      </c>
    </row>
    <row r="212">
      <c r="A212" t="inlineStr">
        <is>
          <t>2016NE01084</t>
        </is>
      </c>
      <c r="B212" t="inlineStr">
        <is>
          <t>6/2011</t>
        </is>
      </c>
      <c r="C212" t="inlineStr">
        <is>
          <t>07/12/2016</t>
        </is>
      </c>
      <c r="D212" t="n">
        <v>1020.49</v>
      </c>
      <c r="E212" t="inlineStr">
        <is>
          <t>Ativo</t>
        </is>
      </c>
      <c r="F212" t="inlineStr">
        <is>
          <t>Despesas De Exercícios Anteriores - RD 105/2016 - NFS 16208, de 13/10/2015 - Ref. Contrato 06/2011, Serviço de hospedagem de site, competência Outubro/2015.</t>
        </is>
      </c>
    </row>
    <row r="213">
      <c r="A213" t="inlineStr">
        <is>
          <t>2016NE01106</t>
        </is>
      </c>
      <c r="B213" t="inlineStr">
        <is>
          <t>4/2012</t>
        </is>
      </c>
      <c r="C213" t="inlineStr">
        <is>
          <t>07/12/2016</t>
        </is>
      </c>
      <c r="D213" t="n">
        <v>2392.86</v>
      </c>
      <c r="E213" t="inlineStr">
        <is>
          <t>Ativo</t>
        </is>
      </c>
      <c r="F213" t="inlineStr">
        <is>
          <t>Reforço a NE00200/2016, referente ao 4º Termo Aditivo ao Contrato nº 004/2012-FHAJ</t>
        </is>
      </c>
    </row>
    <row r="214">
      <c r="A214" t="inlineStr">
        <is>
          <t>2016NE01111</t>
        </is>
      </c>
      <c r="B214" t="inlineStr">
        <is>
          <t>6/2011</t>
        </is>
      </c>
      <c r="C214" t="inlineStr">
        <is>
          <t>07/12/2016</t>
        </is>
      </c>
      <c r="D214" t="n">
        <v>6429.09</v>
      </c>
      <c r="E214" t="inlineStr">
        <is>
          <t>Ativo</t>
        </is>
      </c>
      <c r="F214" t="inlineStr">
        <is>
          <t>Referente ao 5º Termo Aditivo ao Contrato nº 006/2011-FHAJ, serviços de informática para confecção de páginas eletrônicas.</t>
        </is>
      </c>
    </row>
    <row r="215">
      <c r="A215" t="inlineStr">
        <is>
          <t>2016NE01094</t>
        </is>
      </c>
      <c r="B215" t="inlineStr">
        <is>
          <t>4/2012</t>
        </is>
      </c>
      <c r="C215" t="inlineStr">
        <is>
          <t>07/12/2016</t>
        </is>
      </c>
      <c r="D215" t="n">
        <v>398.81</v>
      </c>
      <c r="E215" t="inlineStr">
        <is>
          <t>Ativo</t>
        </is>
      </c>
      <c r="F215" t="inlineStr">
        <is>
          <t>Despesas De Exercícios Anteriores - RD 134/2016 - NFS 14807, de 12/06/2015 - Ref. Contrato 04/2012, Serviço de manutenção sistema SICS, competência Junho/2015.</t>
        </is>
      </c>
    </row>
    <row r="216">
      <c r="A216" t="inlineStr">
        <is>
          <t>2016NE01089</t>
        </is>
      </c>
      <c r="B216" t="inlineStr">
        <is>
          <t>4/2012</t>
        </is>
      </c>
      <c r="C216" t="inlineStr">
        <is>
          <t>07/12/2016</t>
        </is>
      </c>
      <c r="D216" t="n">
        <v>398.81</v>
      </c>
      <c r="E216" t="inlineStr">
        <is>
          <t>Ativo</t>
        </is>
      </c>
      <c r="F216" t="inlineStr">
        <is>
          <t>Despesas De Exercícios Anteriores - RD 110/2016 - NFS 16509, de 10/11/2015 - Ref. Contrato 04/2012, Serviço de manutenção sistema SICS, competência Novembro/2015.</t>
        </is>
      </c>
    </row>
    <row r="217">
      <c r="A217" t="inlineStr">
        <is>
          <t>2016NE01101</t>
        </is>
      </c>
      <c r="B217" t="inlineStr">
        <is>
          <t>12/2010</t>
        </is>
      </c>
      <c r="C217" t="inlineStr">
        <is>
          <t>07/12/2016</t>
        </is>
      </c>
      <c r="D217" t="n">
        <v>9895.27</v>
      </c>
      <c r="E217" t="inlineStr">
        <is>
          <t>Ativo</t>
        </is>
      </c>
      <c r="F217" t="inlineStr">
        <is>
          <t>Despesas De Exercícios Anteriores - RD 257/2016 - NFS 12878, de 11/12/2014 - Ref. Contrato 12/2010, Serviço de acesso a internet -Banda Larga, competência Dezembro/2014.</t>
        </is>
      </c>
    </row>
    <row r="218">
      <c r="A218" t="inlineStr">
        <is>
          <t>2016NE01097</t>
        </is>
      </c>
      <c r="B218" t="inlineStr">
        <is>
          <t>6/2011</t>
        </is>
      </c>
      <c r="C218" t="inlineStr">
        <is>
          <t>07/12/2016</t>
        </is>
      </c>
      <c r="D218" t="n">
        <v>1020.49</v>
      </c>
      <c r="E218" t="inlineStr">
        <is>
          <t>Ativo</t>
        </is>
      </c>
      <c r="F218" t="inlineStr">
        <is>
          <t>Despesas De Exercícios Anteriores - RD 180/2016 - NFS 15161, de 15/07/2015 - Ref. Contrato 06/2011, Serviço de hospedagem de site, competência Julho/2015.</t>
        </is>
      </c>
    </row>
    <row r="219">
      <c r="A219" t="inlineStr">
        <is>
          <t>2016NE01093</t>
        </is>
      </c>
      <c r="B219" t="inlineStr">
        <is>
          <t>4/2012</t>
        </is>
      </c>
      <c r="C219" t="inlineStr">
        <is>
          <t>07/12/2016</t>
        </is>
      </c>
      <c r="D219" t="n">
        <v>398.81</v>
      </c>
      <c r="E219" t="inlineStr">
        <is>
          <t>Ativo</t>
        </is>
      </c>
      <c r="F219" t="inlineStr">
        <is>
          <t>Despesas De Exercícios Anteriores - RD 133/2016 - NFS 15096, de 09/07/2015 - Ref. Contrato 04/2012, Serviço de manutenção sistema SICS, competência Julho/2015.</t>
        </is>
      </c>
    </row>
    <row r="220">
      <c r="A220" t="inlineStr">
        <is>
          <t>2026NE0000157</t>
        </is>
      </c>
      <c r="B220" t="inlineStr">
        <is>
          <t>4/2024</t>
        </is>
      </c>
      <c r="C220" t="inlineStr">
        <is>
          <t>06/03/2026</t>
        </is>
      </c>
      <c r="D220" t="n">
        <v>2717.66</v>
      </c>
      <c r="E220" t="inlineStr">
        <is>
          <t>Ativo</t>
        </is>
      </c>
      <c r="F220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21">
      <c r="A221" t="inlineStr">
        <is>
          <t>2025NE0000203</t>
        </is>
      </c>
      <c r="B221" t="inlineStr">
        <is>
          <t>8/2022</t>
        </is>
      </c>
      <c r="C221" t="inlineStr">
        <is>
          <t>06/03/2025</t>
        </is>
      </c>
      <c r="D221" t="n">
        <v>9256.1</v>
      </c>
      <c r="E221" t="inlineStr">
        <is>
          <t>Ativo</t>
        </is>
      </c>
      <c r="F221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222">
      <c r="A222" t="inlineStr">
        <is>
          <t>2025NE0000204</t>
        </is>
      </c>
      <c r="B222" t="inlineStr">
        <is>
          <t>4/2024</t>
        </is>
      </c>
      <c r="C222" t="inlineStr">
        <is>
          <t>06/03/2025</t>
        </is>
      </c>
      <c r="D222" t="n">
        <v>2717.66</v>
      </c>
      <c r="E222" t="inlineStr">
        <is>
          <t>Ativo</t>
        </is>
      </c>
      <c r="F222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23">
      <c r="A223" t="inlineStr">
        <is>
          <t>2018NE00265</t>
        </is>
      </c>
      <c r="B223" t="inlineStr">
        <is>
          <t>9/2017</t>
        </is>
      </c>
      <c r="C223" t="inlineStr">
        <is>
          <t>06/03/2018</t>
        </is>
      </c>
      <c r="D223" t="n">
        <v>4000</v>
      </c>
      <c r="E223" t="inlineStr">
        <is>
          <t>Ativo</t>
        </is>
      </c>
      <c r="F223" t="inlineStr">
        <is>
          <t>Referente ao 1º Termo Aditivo ao Contrato nº 0009/2017-FHAJ.</t>
        </is>
      </c>
    </row>
    <row r="224">
      <c r="A224" t="inlineStr">
        <is>
          <t>2014NE00445</t>
        </is>
      </c>
      <c r="B224" t="inlineStr">
        <is>
          <t>6/2011</t>
        </is>
      </c>
      <c r="C224" t="inlineStr">
        <is>
          <t>05/05/2014</t>
        </is>
      </c>
      <c r="D224" t="n">
        <v>7823.75</v>
      </c>
      <c r="E224" t="inlineStr">
        <is>
          <t>Ativo</t>
        </is>
      </c>
      <c r="F224" t="inlineStr">
        <is>
          <t>Contrato No. 6/2011 - Desenvolvimento e Hospedagem de Site</t>
        </is>
      </c>
    </row>
    <row r="225">
      <c r="A225" t="inlineStr">
        <is>
          <t>2026NE0000006</t>
        </is>
      </c>
      <c r="B225" t="inlineStr">
        <is>
          <t>8/2022</t>
        </is>
      </c>
      <c r="C225" t="inlineStr">
        <is>
          <t>05/01/2026</t>
        </is>
      </c>
      <c r="D225" t="n">
        <v>9256</v>
      </c>
      <c r="E225" t="inlineStr">
        <is>
          <t>Ativo</t>
        </is>
      </c>
      <c r="F225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226">
      <c r="A226" t="inlineStr">
        <is>
          <t>2026NE0000002</t>
        </is>
      </c>
      <c r="B226" t="inlineStr">
        <is>
          <t>4/2024</t>
        </is>
      </c>
      <c r="C226" t="inlineStr">
        <is>
          <t>05/01/2026</t>
        </is>
      </c>
      <c r="D226" t="n">
        <v>2717.66</v>
      </c>
      <c r="E226" t="inlineStr">
        <is>
          <t>Ativo</t>
        </is>
      </c>
      <c r="F226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27">
      <c r="A227" t="inlineStr">
        <is>
          <t>2015NE00050</t>
        </is>
      </c>
      <c r="B227" t="inlineStr">
        <is>
          <t>4/2012</t>
        </is>
      </c>
      <c r="C227" t="inlineStr">
        <is>
          <t>05/01/2015</t>
        </is>
      </c>
      <c r="D227" t="n">
        <v>427.12</v>
      </c>
      <c r="E227" t="inlineStr">
        <is>
          <t>Ativo</t>
        </is>
      </c>
      <c r="F227" t="inlineStr">
        <is>
          <t>Cobertura 2015</t>
        </is>
      </c>
    </row>
    <row r="228">
      <c r="A228" t="inlineStr">
        <is>
          <t>2015NE00059</t>
        </is>
      </c>
      <c r="B228" t="inlineStr">
        <is>
          <t>6/2011</t>
        </is>
      </c>
      <c r="C228" t="inlineStr">
        <is>
          <t>05/01/2015</t>
        </is>
      </c>
      <c r="D228" t="n">
        <v>2040.98</v>
      </c>
      <c r="E228" t="inlineStr">
        <is>
          <t>Ativo</t>
        </is>
      </c>
      <c r="F228" t="inlineStr">
        <is>
          <t>Anulação do Empenho nº 00051/2015 para correção da Referência/Artigo: Art.24; VI; Lei 8.666/93 para Art.24; XVI; Lei 8.666/93.</t>
        </is>
      </c>
    </row>
    <row r="229">
      <c r="A229" t="inlineStr">
        <is>
          <t>2015NE00051</t>
        </is>
      </c>
      <c r="B229" t="inlineStr">
        <is>
          <t>6/2011</t>
        </is>
      </c>
      <c r="C229" t="inlineStr">
        <is>
          <t>05/01/2015</t>
        </is>
      </c>
      <c r="D229" t="n">
        <v>2040.98</v>
      </c>
      <c r="E229" t="inlineStr">
        <is>
          <t>Ativo</t>
        </is>
      </c>
      <c r="F229" t="inlineStr">
        <is>
          <t>3. Termo Aditivo ao Contrato 006/2011-FHAJ, referente a contratação de empresa especializada em serviço de processamento de dados.</t>
        </is>
      </c>
    </row>
    <row r="230">
      <c r="A230" t="inlineStr">
        <is>
          <t>2015NE00035</t>
        </is>
      </c>
      <c r="B230" t="inlineStr">
        <is>
          <t>11/2011</t>
        </is>
      </c>
      <c r="C230" t="inlineStr">
        <is>
          <t>05/01/2015</t>
        </is>
      </c>
      <c r="D230" t="n">
        <v>10558</v>
      </c>
      <c r="E230" t="inlineStr">
        <is>
          <t>Ativo</t>
        </is>
      </c>
      <c r="F230" t="inlineStr">
        <is>
          <t>Cobertura Financeira 2015</t>
        </is>
      </c>
    </row>
    <row r="231">
      <c r="A231" t="inlineStr">
        <is>
          <t>2015NE00060</t>
        </is>
      </c>
      <c r="B231" t="inlineStr">
        <is>
          <t>6/2011</t>
        </is>
      </c>
      <c r="C231" t="inlineStr">
        <is>
          <t>05/01/2015</t>
        </is>
      </c>
      <c r="D231" t="n">
        <v>2040.98</v>
      </c>
      <c r="E231" t="inlineStr">
        <is>
          <t>Ativo</t>
        </is>
      </c>
      <c r="F231" t="inlineStr">
        <is>
          <t>Cobertura financeira 2015</t>
        </is>
      </c>
    </row>
    <row r="232">
      <c r="A232" t="inlineStr">
        <is>
          <t>2015NE00034</t>
        </is>
      </c>
      <c r="B232" t="inlineStr">
        <is>
          <t>12/2010</t>
        </is>
      </c>
      <c r="C232" t="inlineStr">
        <is>
          <t>05/01/2015</t>
        </is>
      </c>
      <c r="D232" t="n">
        <v>18780.16</v>
      </c>
      <c r="E232" t="inlineStr">
        <is>
          <t>Ativo</t>
        </is>
      </c>
      <c r="F232" t="inlineStr">
        <is>
          <t>Empenho de contrato: importado manualmente em 18/09/2015</t>
        </is>
      </c>
    </row>
    <row r="233">
      <c r="A233" t="inlineStr">
        <is>
          <t>2020NE01207</t>
        </is>
      </c>
      <c r="B233" t="inlineStr">
        <is>
          <t>9/2017</t>
        </is>
      </c>
      <c r="C233" t="inlineStr">
        <is>
          <t>04/09/2020</t>
        </is>
      </c>
      <c r="D233" t="n">
        <v>15100.2</v>
      </c>
      <c r="E233" t="inlineStr">
        <is>
          <t>Ativo</t>
        </is>
      </c>
      <c r="F233" t="inlineStr">
        <is>
          <t>Referente ao 3º Termo Aditivo ao Contrato nº 009/17 - Internet banda larga - período: Agosto e setembro/2020.</t>
        </is>
      </c>
    </row>
    <row r="234">
      <c r="A234" t="inlineStr">
        <is>
          <t>2020NE01206</t>
        </is>
      </c>
      <c r="B234" t="inlineStr">
        <is>
          <t>1/2018</t>
        </is>
      </c>
      <c r="C234" t="inlineStr">
        <is>
          <t>04/09/2020</t>
        </is>
      </c>
      <c r="D234" t="n">
        <v>3356.88</v>
      </c>
      <c r="E234" t="inlineStr">
        <is>
          <t>Ativo</t>
        </is>
      </c>
      <c r="F234" t="inlineStr">
        <is>
          <t>2º TA ao CT nº 001/2018-FHAJ de serviço de confecção de páginas eletrônicas. Período: Agosto e setembro/2020.</t>
        </is>
      </c>
    </row>
    <row r="235">
      <c r="A235" t="inlineStr">
        <is>
          <t>2020NE00819</t>
        </is>
      </c>
      <c r="B235" t="inlineStr">
        <is>
          <t>9/2017</t>
        </is>
      </c>
      <c r="C235" t="inlineStr">
        <is>
          <t>04/06/2020</t>
        </is>
      </c>
      <c r="D235" t="n">
        <v>219.52</v>
      </c>
      <c r="E235" t="inlineStr">
        <is>
          <t>Ativo</t>
        </is>
      </c>
      <c r="F235" t="inlineStr">
        <is>
          <t>Referente ao 3º Termo Aditivo ao Contrato nº 009/17 - Internet banda larga. Valor complementar ref. às competências janeiro a abril/2020, no valor de R$ 54,88 (mensal).</t>
        </is>
      </c>
    </row>
    <row r="236">
      <c r="A236" t="inlineStr">
        <is>
          <t>2020NE00820</t>
        </is>
      </c>
      <c r="B236" t="inlineStr">
        <is>
          <t>1/2018</t>
        </is>
      </c>
      <c r="C236" t="inlineStr">
        <is>
          <t>04/06/2020</t>
        </is>
      </c>
      <c r="D236" t="n">
        <v>1678.44</v>
      </c>
      <c r="E236" t="inlineStr">
        <is>
          <t>Ativo</t>
        </is>
      </c>
      <c r="F236" t="inlineStr">
        <is>
          <t>2º TA ao CT nº 001/2018-FHAJ de serviço de confecção de páginas eletrônicas. Período: junho/2020.</t>
        </is>
      </c>
    </row>
    <row r="237">
      <c r="A237" t="inlineStr">
        <is>
          <t>2015NE00354</t>
        </is>
      </c>
      <c r="B237" t="inlineStr">
        <is>
          <t>6/2011</t>
        </is>
      </c>
      <c r="C237" t="inlineStr">
        <is>
          <t>04/05/2015</t>
        </is>
      </c>
      <c r="D237" t="n">
        <v>1020.49</v>
      </c>
      <c r="E237" t="inlineStr">
        <is>
          <t>Ativo</t>
        </is>
      </c>
      <c r="F237" t="inlineStr">
        <is>
          <t>Anulação parcial da NE00060/2015, pelo motivo da fonte de recursos incorreta.</t>
        </is>
      </c>
    </row>
    <row r="238">
      <c r="A238" t="inlineStr">
        <is>
          <t>2015NE00352</t>
        </is>
      </c>
      <c r="B238" t="inlineStr">
        <is>
          <t>6/2011</t>
        </is>
      </c>
      <c r="C238" t="inlineStr">
        <is>
          <t>04/05/2015</t>
        </is>
      </c>
      <c r="D238" t="n">
        <v>1020.49</v>
      </c>
      <c r="E238" t="inlineStr">
        <is>
          <t>Ativo</t>
        </is>
      </c>
      <c r="F238" t="inlineStr">
        <is>
          <t>Reforço da NE00060/2015, 3º Termo Aditivo ao Contrato nº 006/2011-FHAJ, prestação de serviços de desenvolvimento e confecção e implantação de Web Site.</t>
        </is>
      </c>
    </row>
    <row r="239">
      <c r="A239" t="inlineStr">
        <is>
          <t>2022NE0000374</t>
        </is>
      </c>
      <c r="B239" t="inlineStr">
        <is>
          <t>9/2017</t>
        </is>
      </c>
      <c r="C239" t="inlineStr">
        <is>
          <t>04/03/2022</t>
        </is>
      </c>
      <c r="D239" t="n">
        <v>7457.76</v>
      </c>
      <c r="E239" t="inlineStr">
        <is>
          <t>Ativo</t>
        </is>
      </c>
      <c r="F239">
        <f>4º Termo Aditivo ao Contrato nº 009/2017-FHAJ, cujo o objeto e a contratação de pessoa jurídica especializada para prestação de serviços de acesso à Internet Banda Larga, com IP dedicado, com velocid</f>
        <v/>
      </c>
    </row>
    <row r="240">
      <c r="A240" t="inlineStr">
        <is>
          <t>2021NE0000026</t>
        </is>
      </c>
      <c r="B240" t="inlineStr">
        <is>
          <t>9/2017</t>
        </is>
      </c>
      <c r="C240" t="inlineStr">
        <is>
          <t>04/01/2021</t>
        </is>
      </c>
      <c r="D240" t="n">
        <v>16358.55</v>
      </c>
      <c r="E240" t="inlineStr">
        <is>
          <t>Ativo</t>
        </is>
      </c>
      <c r="F240" t="inlineStr">
        <is>
          <t>3º TA ao CT 009/2017, contratação de empresa especializada para prestação de serviços de acesso à internet Banda Larga com IP dedicado, com velocidade de 10 Mbps. Período: jan, fev e de 01 a 05 de mar</t>
        </is>
      </c>
    </row>
    <row r="241">
      <c r="A241" t="inlineStr">
        <is>
          <t>2016NE00842</t>
        </is>
      </c>
      <c r="B241" t="inlineStr">
        <is>
          <t>6/2011</t>
        </is>
      </c>
      <c r="C241" t="inlineStr">
        <is>
          <t>03/10/2016</t>
        </is>
      </c>
      <c r="D241" t="n">
        <v>1020.49</v>
      </c>
      <c r="E241" t="inlineStr">
        <is>
          <t>Ativo</t>
        </is>
      </c>
      <c r="F241" t="inlineStr">
        <is>
          <t>Reforço a NE00074/2016, referente ao 5º Termo Aditivo ao Contrato nº 006/2011-FHAJ.</t>
        </is>
      </c>
    </row>
    <row r="242">
      <c r="A242" t="inlineStr">
        <is>
          <t>2024NE0000899</t>
        </is>
      </c>
      <c r="B242" t="inlineStr">
        <is>
          <t>4/2024</t>
        </is>
      </c>
      <c r="C242" t="inlineStr">
        <is>
          <t>03/07/2024</t>
        </is>
      </c>
      <c r="D242" t="n">
        <v>2717.66</v>
      </c>
      <c r="E242" t="inlineStr">
        <is>
          <t>Ativo</t>
        </is>
      </c>
      <c r="F242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43">
      <c r="A243" t="inlineStr">
        <is>
          <t>2024NE0000900</t>
        </is>
      </c>
      <c r="B243" t="inlineStr">
        <is>
          <t>8/2022</t>
        </is>
      </c>
      <c r="C243" t="inlineStr">
        <is>
          <t>03/07/2024</t>
        </is>
      </c>
      <c r="D243" t="n">
        <v>9256.1</v>
      </c>
      <c r="E243" t="inlineStr">
        <is>
          <t>Ativo</t>
        </is>
      </c>
      <c r="F243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244">
      <c r="A244" t="inlineStr">
        <is>
          <t>2017NE00668</t>
        </is>
      </c>
      <c r="B244" t="inlineStr"/>
      <c r="C244" t="inlineStr">
        <is>
          <t>03/07/2017</t>
        </is>
      </c>
      <c r="D244" t="n">
        <v>0.98</v>
      </c>
      <c r="E244" t="inlineStr">
        <is>
          <t>Ativo</t>
        </is>
      </c>
      <c r="F244" t="inlineStr">
        <is>
          <t>Contrato 006/2011 - 6a. TA - Reforço para o mês de Fevereiro e Março/22017 NE 500</t>
        </is>
      </c>
    </row>
    <row r="245">
      <c r="A245" t="inlineStr">
        <is>
          <t>2017NE00666</t>
        </is>
      </c>
      <c r="B245" t="inlineStr">
        <is>
          <t>9/2017</t>
        </is>
      </c>
      <c r="C245" t="inlineStr">
        <is>
          <t>03/07/2017</t>
        </is>
      </c>
      <c r="D245" t="n">
        <v>20400</v>
      </c>
      <c r="E245" t="inlineStr">
        <is>
          <t>Ativo</t>
        </is>
      </c>
      <c r="F245" t="inlineStr">
        <is>
          <t>CONTRATAÇÃO DE PESSOA JURÍDICA ESPECIALIZADA PARA PRESTAÇÃO DE SERVIÇOS DE ACESSO À INTERNET BANDA LARGA, COM IP DEDICADO, COM VELOCIDADE DE 10 MBPS. (Abril/Maio e Junho)</t>
        </is>
      </c>
    </row>
    <row r="246">
      <c r="A246" t="inlineStr">
        <is>
          <t>2017NE00667</t>
        </is>
      </c>
      <c r="B246" t="inlineStr">
        <is>
          <t>4/2012</t>
        </is>
      </c>
      <c r="C246" t="inlineStr">
        <is>
          <t>03/07/2017</t>
        </is>
      </c>
      <c r="D246" t="n">
        <v>1196.43</v>
      </c>
      <c r="E246" t="inlineStr">
        <is>
          <t>Ativo</t>
        </is>
      </c>
      <c r="F246" t="inlineStr">
        <is>
          <t>Contratação de pessoa jurídica para prestação de serviço de informática, compreendendo a implantação do SICS - Sistema Inteligente de Controle de Senha para esta fundação. (Maio/junho/julho).</t>
        </is>
      </c>
    </row>
    <row r="247">
      <c r="A247" t="inlineStr">
        <is>
          <t>2017NE00669</t>
        </is>
      </c>
      <c r="B247" t="inlineStr"/>
      <c r="C247" t="inlineStr">
        <is>
          <t>03/07/2017</t>
        </is>
      </c>
      <c r="D247" t="n">
        <v>1020.49</v>
      </c>
      <c r="E247" t="inlineStr">
        <is>
          <t>Ativo</t>
        </is>
      </c>
      <c r="F247" t="inlineStr">
        <is>
          <t>Contrato 006/2011 - 6.TA - Manutenção site. mês: Abril/2017</t>
        </is>
      </c>
    </row>
    <row r="248">
      <c r="A248" t="inlineStr">
        <is>
          <t>2025NE0000574</t>
        </is>
      </c>
      <c r="B248" t="inlineStr">
        <is>
          <t>8/2022</t>
        </is>
      </c>
      <c r="C248" t="inlineStr">
        <is>
          <t>03/06/2025</t>
        </is>
      </c>
      <c r="D248" t="n">
        <v>9256.1</v>
      </c>
      <c r="E248" t="inlineStr">
        <is>
          <t>Ativo</t>
        </is>
      </c>
      <c r="F248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249">
      <c r="A249" t="inlineStr">
        <is>
          <t>2025NE0000573</t>
        </is>
      </c>
      <c r="B249" t="inlineStr">
        <is>
          <t>4/2024</t>
        </is>
      </c>
      <c r="C249" t="inlineStr">
        <is>
          <t>03/06/2025</t>
        </is>
      </c>
      <c r="D249" t="n">
        <v>2717.66</v>
      </c>
      <c r="E249" t="inlineStr">
        <is>
          <t>Ativo</t>
        </is>
      </c>
      <c r="F249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50">
      <c r="A250" t="inlineStr">
        <is>
          <t>2019NE00526</t>
        </is>
      </c>
      <c r="B250" t="inlineStr">
        <is>
          <t>9/2017</t>
        </is>
      </c>
      <c r="C250" t="inlineStr">
        <is>
          <t>03/06/2019</t>
        </is>
      </c>
      <c r="D250" t="n">
        <v>7458.9</v>
      </c>
      <c r="E250" t="inlineStr">
        <is>
          <t>Ativo</t>
        </is>
      </c>
      <c r="F250" t="inlineStr">
        <is>
          <t>Referente ao 2º TA ao CT nº 009/17 - internet banda larga - abril/2019.</t>
        </is>
      </c>
    </row>
    <row r="251">
      <c r="A251" t="inlineStr">
        <is>
          <t>2021NE0000216</t>
        </is>
      </c>
      <c r="B251" t="inlineStr">
        <is>
          <t>9/2017</t>
        </is>
      </c>
      <c r="C251" t="inlineStr">
        <is>
          <t>03/03/2021</t>
        </is>
      </c>
      <c r="D251" t="n">
        <v>6215</v>
      </c>
      <c r="E251" t="inlineStr">
        <is>
          <t>Ativo</t>
        </is>
      </c>
      <c r="F251" t="inlineStr">
        <is>
          <t>4º TA ao CT 009/2017, contratação de empresa especializada para prestação de serviços de acesso à internet Banda Larga com IP dedicado, com velocidade de 35 Mbps. Período: 06 a 31 de março/2021.</t>
        </is>
      </c>
    </row>
    <row r="252">
      <c r="A252" t="inlineStr">
        <is>
          <t>2021NE0000215</t>
        </is>
      </c>
      <c r="B252" t="inlineStr"/>
      <c r="C252" t="inlineStr">
        <is>
          <t>03/03/2021</t>
        </is>
      </c>
      <c r="D252" t="n">
        <v>6199.41</v>
      </c>
      <c r="E252" t="inlineStr">
        <is>
          <t>Ativo</t>
        </is>
      </c>
      <c r="F252" t="inlineStr">
        <is>
          <t>ANULAÇÃO DA NE 213/2021 POR VALOR INCORRETO.</t>
        </is>
      </c>
    </row>
    <row r="253">
      <c r="A253" t="inlineStr">
        <is>
          <t>2017NE00272</t>
        </is>
      </c>
      <c r="B253" t="inlineStr">
        <is>
          <t>9/2017</t>
        </is>
      </c>
      <c r="C253" t="inlineStr">
        <is>
          <t>03/03/2017</t>
        </is>
      </c>
      <c r="D253" t="n">
        <v>5666.66</v>
      </c>
      <c r="E253" t="inlineStr">
        <is>
          <t>Ativo</t>
        </is>
      </c>
      <c r="F253" t="inlineStr">
        <is>
          <t>Referente ao Termo de Contrato nº 009/2017-FHAJ, para prestação de serviço de de acesso a internet banda larga, com IP dedicado, com velocidade de 10 MBPS.</t>
        </is>
      </c>
    </row>
    <row r="254">
      <c r="A254" t="inlineStr">
        <is>
          <t>2017NE00164</t>
        </is>
      </c>
      <c r="B254" t="inlineStr">
        <is>
          <t>4/2012</t>
        </is>
      </c>
      <c r="C254" t="inlineStr">
        <is>
          <t>03/02/2017</t>
        </is>
      </c>
      <c r="D254" t="n">
        <v>398.81</v>
      </c>
      <c r="E254" t="inlineStr">
        <is>
          <t>Ativo</t>
        </is>
      </c>
      <c r="F254" t="inlineStr">
        <is>
          <t>Referente ao 5º Termo Aditivo ao Contrato nº 004/2012-FHAJ, serviços de informatica - implantação do sistema inteligente de senhas - SICS.</t>
        </is>
      </c>
    </row>
    <row r="255">
      <c r="A255" t="inlineStr">
        <is>
          <t>2022NE0000022</t>
        </is>
      </c>
      <c r="B255" t="inlineStr">
        <is>
          <t>1/2018</t>
        </is>
      </c>
      <c r="C255" t="inlineStr">
        <is>
          <t>03/01/2022</t>
        </is>
      </c>
      <c r="D255" t="n">
        <v>6473.1</v>
      </c>
      <c r="E255" t="inlineStr">
        <is>
          <t>Ativo</t>
        </is>
      </c>
      <c r="F255" t="inlineStr">
        <is>
          <t>Referente ao 4º TA ao CT 001/2018-FHAJ, serviços de disponibilidade de gestor de conteúdo WEB (Publicações padrão Governo); Período: Janeiro a março/2022.</t>
        </is>
      </c>
    </row>
    <row r="256">
      <c r="A256" t="inlineStr">
        <is>
          <t>2022NE0000034</t>
        </is>
      </c>
      <c r="B256" t="inlineStr">
        <is>
          <t>9/2017</t>
        </is>
      </c>
      <c r="C256" t="inlineStr">
        <is>
          <t>03/01/2022</t>
        </is>
      </c>
      <c r="D256" t="n">
        <v>16158.28</v>
      </c>
      <c r="E256" t="inlineStr">
        <is>
          <t>Ativo</t>
        </is>
      </c>
      <c r="F256" t="inlineStr">
        <is>
          <t>Referente ao 4º TA ao CT 009/2017-FHAJ, serviços de acesso à Internet banda larga, com Ip dedicado; Período: Janeiro, fevereiro e de 01 a 05 de março/2022.</t>
        </is>
      </c>
    </row>
    <row r="257">
      <c r="A257" t="inlineStr">
        <is>
          <t>2021NE0000213</t>
        </is>
      </c>
      <c r="B257" t="inlineStr">
        <is>
          <t>9/2017</t>
        </is>
      </c>
      <c r="C257" t="inlineStr">
        <is>
          <t>02/03/2021</t>
        </is>
      </c>
      <c r="D257" t="n">
        <v>6199.41</v>
      </c>
      <c r="E257" t="inlineStr">
        <is>
          <t>Ativo</t>
        </is>
      </c>
      <c r="F257" t="inlineStr">
        <is>
          <t>3º TA ao CT 009/2017, contratação de empresa especializada para prestação de serviços de acesso à internet Banda Larga com IP dedicado, com velocidade de 10 Mbps. Período: 06 a 31 de março/2021.</t>
        </is>
      </c>
    </row>
    <row r="258">
      <c r="A258" t="inlineStr">
        <is>
          <t>2015NE00093</t>
        </is>
      </c>
      <c r="B258" t="inlineStr">
        <is>
          <t>4/2012</t>
        </is>
      </c>
      <c r="C258" t="inlineStr">
        <is>
          <t>02/02/2015</t>
        </is>
      </c>
      <c r="D258" t="n">
        <v>370.5</v>
      </c>
      <c r="E258" t="inlineStr">
        <is>
          <t>Ativo</t>
        </is>
      </c>
      <c r="F258" t="inlineStr">
        <is>
          <t>Cobertura 3TA MES FEVEREIRO 2015</t>
        </is>
      </c>
    </row>
    <row r="259">
      <c r="A259" t="inlineStr">
        <is>
          <t>2025NE0000004</t>
        </is>
      </c>
      <c r="B259" t="inlineStr">
        <is>
          <t>8/2022</t>
        </is>
      </c>
      <c r="C259" t="inlineStr">
        <is>
          <t>02/01/2025</t>
        </is>
      </c>
      <c r="D259" t="n">
        <v>9256.1</v>
      </c>
      <c r="E259" t="inlineStr">
        <is>
          <t>Ativo</t>
        </is>
      </c>
      <c r="F259" t="inlineStr">
        <is>
          <t>Contratação de Empresa Especializada em serviços de acesso à Internet Banda Larga, com IP Dedicado, com Velocidade de 37Mbps, para atender à necessidades desta FHAJ, com reajuste em 23% para realinham</t>
        </is>
      </c>
    </row>
    <row r="260">
      <c r="A260" t="inlineStr">
        <is>
          <t>2025NE0000012</t>
        </is>
      </c>
      <c r="B260" t="inlineStr">
        <is>
          <t>4/2024</t>
        </is>
      </c>
      <c r="C260" t="inlineStr">
        <is>
          <t>02/01/2025</t>
        </is>
      </c>
      <c r="D260" t="n">
        <v>2717.66</v>
      </c>
      <c r="E260" t="inlineStr">
        <is>
          <t>Ativo</t>
        </is>
      </c>
      <c r="F260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61">
      <c r="A261" t="inlineStr">
        <is>
          <t>2023NE0000005</t>
        </is>
      </c>
      <c r="B261" t="inlineStr">
        <is>
          <t>1/2018</t>
        </is>
      </c>
      <c r="C261" t="inlineStr">
        <is>
          <t>02/01/2023</t>
        </is>
      </c>
      <c r="D261" t="n">
        <v>2297.09</v>
      </c>
      <c r="E261" t="inlineStr">
        <is>
          <t>Ativo</t>
        </is>
      </c>
      <c r="F261" t="inlineStr">
        <is>
          <t>Referente ao 5º TA ao CT 001/2018-FHAJ, serviços de disponibilidade de gestor de conteúdo WEB (Publicações padrão Governo). Período: Janeiro/2023.</t>
        </is>
      </c>
    </row>
    <row r="262">
      <c r="A262" t="inlineStr">
        <is>
          <t>2023NE0000006</t>
        </is>
      </c>
      <c r="B262" t="inlineStr">
        <is>
          <t>8/2022</t>
        </is>
      </c>
      <c r="C262" t="inlineStr">
        <is>
          <t>02/01/2023</t>
        </is>
      </c>
      <c r="D262" t="n">
        <v>7525.43</v>
      </c>
      <c r="E262" t="inlineStr">
        <is>
          <t>Ativo</t>
        </is>
      </c>
      <c r="F262" t="inlineStr">
        <is>
          <t>Referente ao CT 008/2022-FHAJ, serviços de acesso à Internet banda larga, com Ip dedicado. Período: Janeiro/2023.</t>
        </is>
      </c>
    </row>
    <row r="263">
      <c r="A263" t="inlineStr">
        <is>
          <t>2020NE00004</t>
        </is>
      </c>
      <c r="B263" t="inlineStr">
        <is>
          <t>9/2017</t>
        </is>
      </c>
      <c r="C263" t="inlineStr">
        <is>
          <t>02/01/2020</t>
        </is>
      </c>
      <c r="D263" t="n">
        <v>22376.7</v>
      </c>
      <c r="E263" t="inlineStr">
        <is>
          <t>Ativo</t>
        </is>
      </c>
      <c r="F263" t="inlineStr">
        <is>
          <t>Referente ao 2º TA ao CT nº 009/17 - internet banda larga - Período: jan a mar/2020.</t>
        </is>
      </c>
    </row>
    <row r="264">
      <c r="A264" t="inlineStr">
        <is>
          <t>2020NE00008</t>
        </is>
      </c>
      <c r="B264" t="inlineStr">
        <is>
          <t>1/2018</t>
        </is>
      </c>
      <c r="C264" t="inlineStr">
        <is>
          <t>02/01/2020</t>
        </is>
      </c>
      <c r="D264" t="n">
        <v>4870.68</v>
      </c>
      <c r="E264" t="inlineStr">
        <is>
          <t>Ativo</t>
        </is>
      </c>
      <c r="F264" t="inlineStr">
        <is>
          <t>2º TA ao CT nº 001/2018-FHAJ de serviço de confecção de páginas eletrônicas. Período: jan, fev e parcial de mar/2020.</t>
        </is>
      </c>
    </row>
    <row r="265">
      <c r="A265" t="inlineStr">
        <is>
          <t>2019NE00013</t>
        </is>
      </c>
      <c r="B265" t="inlineStr">
        <is>
          <t>9/2017</t>
        </is>
      </c>
      <c r="C265" t="inlineStr">
        <is>
          <t>02/01/2019</t>
        </is>
      </c>
      <c r="D265" t="n">
        <v>16400</v>
      </c>
      <c r="E265" t="inlineStr">
        <is>
          <t>Ativo</t>
        </is>
      </c>
      <c r="F265" t="inlineStr">
        <is>
          <t>01 TA ao CT 009/17 - serviços de Internet banda larga.</t>
        </is>
      </c>
    </row>
    <row r="266">
      <c r="A266" t="inlineStr">
        <is>
          <t>2019NE00024</t>
        </is>
      </c>
      <c r="B266" t="inlineStr">
        <is>
          <t>1/2018</t>
        </is>
      </c>
      <c r="C266" t="inlineStr">
        <is>
          <t>02/01/2019</t>
        </is>
      </c>
      <c r="D266" t="n">
        <v>4425.87</v>
      </c>
      <c r="E266" t="inlineStr">
        <is>
          <t>Ativo</t>
        </is>
      </c>
      <c r="F266" t="inlineStr">
        <is>
          <t>1º TA ao CT nº 001/2018-FHAJ de serviço de confecção de páginas eletrônicas.</t>
        </is>
      </c>
    </row>
    <row r="267">
      <c r="A267" t="inlineStr">
        <is>
          <t>2018NE00031</t>
        </is>
      </c>
      <c r="B267" t="inlineStr">
        <is>
          <t>6/2011</t>
        </is>
      </c>
      <c r="C267" t="inlineStr">
        <is>
          <t>02/01/2018</t>
        </is>
      </c>
      <c r="D267" t="n">
        <v>1020.49</v>
      </c>
      <c r="E267" t="inlineStr">
        <is>
          <t>Ativo</t>
        </is>
      </c>
      <c r="F267" t="inlineStr">
        <is>
          <t>DEAS - Serviço de Hospedagem do site ref. CT 06/11, competência Agosto/17 conforme NFS 24368, de 15/08/2018. SC 020/2018, RD 116/2018.</t>
        </is>
      </c>
    </row>
    <row r="268">
      <c r="A268" t="inlineStr">
        <is>
          <t>2018NE00063</t>
        </is>
      </c>
      <c r="B268" t="inlineStr">
        <is>
          <t>1/2018</t>
        </is>
      </c>
      <c r="C268" t="inlineStr">
        <is>
          <t>02/01/2018</t>
        </is>
      </c>
      <c r="D268" t="n">
        <v>1475.29</v>
      </c>
      <c r="E268" t="inlineStr">
        <is>
          <t>Ativo</t>
        </is>
      </c>
      <c r="F268" t="inlineStr">
        <is>
          <t>SERVIÇO DE DISPONIBILIZAÇÃO DE GESTOR DE CONTEÚDO WEB - CT 001/2018</t>
        </is>
      </c>
    </row>
    <row r="269">
      <c r="A269" t="inlineStr">
        <is>
          <t>2018NE00052</t>
        </is>
      </c>
      <c r="B269" t="inlineStr">
        <is>
          <t>4/2012</t>
        </is>
      </c>
      <c r="C269" t="inlineStr">
        <is>
          <t>02/01/2018</t>
        </is>
      </c>
      <c r="D269" t="n">
        <v>398.81</v>
      </c>
      <c r="E269" t="inlineStr">
        <is>
          <t>Ativo</t>
        </is>
      </c>
      <c r="F269" t="inlineStr">
        <is>
          <t>Contratação de pessoa jurídica para prestação de serviço de informática , compreendendo a implantação do SICS - Sistema Inteligente de Controle de senha para a FHJA - 5. Termo aditivo ao Contrato 004/</t>
        </is>
      </c>
    </row>
    <row r="270">
      <c r="A270" t="inlineStr">
        <is>
          <t>2018NE00048</t>
        </is>
      </c>
      <c r="B270" t="inlineStr">
        <is>
          <t>4/2012</t>
        </is>
      </c>
      <c r="C270" t="inlineStr">
        <is>
          <t>02/01/2018</t>
        </is>
      </c>
      <c r="D270" t="n">
        <v>398.81</v>
      </c>
      <c r="E270" t="inlineStr">
        <is>
          <t>Ativo</t>
        </is>
      </c>
      <c r="F270" t="inlineStr">
        <is>
          <t>DEAS - Serviço de Senhas - SCI no mês Outubr2018.</t>
        </is>
      </c>
    </row>
    <row r="271">
      <c r="A271" t="inlineStr">
        <is>
          <t>2018NE00055</t>
        </is>
      </c>
      <c r="B271" t="inlineStr">
        <is>
          <t>9/2017</t>
        </is>
      </c>
      <c r="C271" t="inlineStr">
        <is>
          <t>02/01/2018</t>
        </is>
      </c>
      <c r="D271" t="n">
        <v>6800</v>
      </c>
      <c r="E271" t="inlineStr">
        <is>
          <t>Ativo</t>
        </is>
      </c>
      <c r="F271" t="inlineStr">
        <is>
          <t>CONTRATAÇÃO DE PESSOA JURÍDICA ESPECIALIZADA PARA PRESTAÇÃO DE SERVIÇOS DE ACESSO À INTERNET BANDA LARGA, COM IP DEDICADO, COM VELOCIDADE DE 10 MBPS. TERMO DE CONTRATO 009/2017-FHAJ</t>
        </is>
      </c>
    </row>
    <row r="272">
      <c r="A272" t="inlineStr">
        <is>
          <t>2017NE00084</t>
        </is>
      </c>
      <c r="B272" t="inlineStr">
        <is>
          <t>4/2012</t>
        </is>
      </c>
      <c r="C272" t="inlineStr">
        <is>
          <t>02/01/2017</t>
        </is>
      </c>
      <c r="D272" t="n">
        <v>398.81</v>
      </c>
      <c r="E272" t="inlineStr">
        <is>
          <t>Ativo</t>
        </is>
      </c>
      <c r="F272" t="inlineStr">
        <is>
          <t>4. Termo aditivo ao Contrato 004/2012-FHAJ - Serviço de Senhas</t>
        </is>
      </c>
    </row>
    <row r="273">
      <c r="A273" t="inlineStr">
        <is>
          <t>2017NE00083</t>
        </is>
      </c>
      <c r="B273" t="inlineStr">
        <is>
          <t>6/2011</t>
        </is>
      </c>
      <c r="C273" t="inlineStr">
        <is>
          <t>02/01/2017</t>
        </is>
      </c>
      <c r="D273" t="n">
        <v>1020.49</v>
      </c>
      <c r="E273" t="inlineStr">
        <is>
          <t>Ativo</t>
        </is>
      </c>
      <c r="F273" t="inlineStr">
        <is>
          <t>Referente ao 6º Termo Aditivo ao Contrato nº 006/2011-FHAJ, serviços de desenvolvimento, confecção e implantação de Web Site.</t>
        </is>
      </c>
    </row>
    <row r="274">
      <c r="A274" t="inlineStr">
        <is>
          <t>2014NE00047</t>
        </is>
      </c>
      <c r="B274" t="inlineStr">
        <is>
          <t>4/2012</t>
        </is>
      </c>
      <c r="C274" t="inlineStr">
        <is>
          <t>02/01/2014</t>
        </is>
      </c>
      <c r="D274" t="n">
        <v>405.24</v>
      </c>
      <c r="E274" t="inlineStr">
        <is>
          <t>Ativo</t>
        </is>
      </c>
      <c r="F274" t="inlineStr">
        <is>
          <t>Contrato No. 4/2012 - Manutenção Sist Senhas- SICS</t>
        </is>
      </c>
    </row>
    <row r="275">
      <c r="A275" t="inlineStr">
        <is>
          <t>2014NE00073</t>
        </is>
      </c>
      <c r="B275" t="inlineStr">
        <is>
          <t>11/2011</t>
        </is>
      </c>
      <c r="C275" t="inlineStr">
        <is>
          <t>02/01/2014</t>
        </is>
      </c>
      <c r="D275" t="n">
        <v>35211.47</v>
      </c>
      <c r="E275" t="inlineStr">
        <is>
          <t>Ativo</t>
        </is>
      </c>
      <c r="F275" t="inlineStr">
        <is>
          <t>Contrato No. 11/2011 - Serviços Eventuais de Informatica</t>
        </is>
      </c>
    </row>
    <row r="276">
      <c r="A276" t="inlineStr">
        <is>
          <t>2014NE00058</t>
        </is>
      </c>
      <c r="B276" t="inlineStr">
        <is>
          <t>6/2011</t>
        </is>
      </c>
      <c r="C276" t="inlineStr">
        <is>
          <t>02/01/2014</t>
        </is>
      </c>
      <c r="D276" t="n">
        <v>3873.56</v>
      </c>
      <c r="E276" t="inlineStr">
        <is>
          <t>Ativo</t>
        </is>
      </c>
      <c r="F276" t="inlineStr">
        <is>
          <t>Contrato No. 6/2011 - Desenvolvimento e Hospedagem de Site</t>
        </is>
      </c>
    </row>
    <row r="277">
      <c r="A277" t="inlineStr">
        <is>
          <t>2014NE00053</t>
        </is>
      </c>
      <c r="B277" t="inlineStr">
        <is>
          <t>12/2010</t>
        </is>
      </c>
      <c r="C277" t="inlineStr">
        <is>
          <t>02/01/2014</t>
        </is>
      </c>
      <c r="D277" t="n">
        <v>47263.4</v>
      </c>
      <c r="E277" t="inlineStr">
        <is>
          <t>Ativo</t>
        </is>
      </c>
      <c r="F277" t="inlineStr">
        <is>
          <t>Contrato No. 12/2010 - Internet/Computador banda 3.256Kb-MetroMAO</t>
        </is>
      </c>
    </row>
    <row r="278">
      <c r="A278" t="inlineStr">
        <is>
          <t>2017NE00817</t>
        </is>
      </c>
      <c r="B278" t="inlineStr"/>
      <c r="C278" t="inlineStr">
        <is>
          <t>01/09/2017</t>
        </is>
      </c>
      <c r="D278" t="n">
        <v>398.81</v>
      </c>
      <c r="E278" t="inlineStr">
        <is>
          <t>Ativo</t>
        </is>
      </c>
      <c r="F278" t="inlineStr">
        <is>
          <t>Contratação de pessoa jurídica para prestação de serviço de informática, compreendendo a implantação do SICS - Sistema Inteligente de Controle de Senha para esta fundação.</t>
        </is>
      </c>
    </row>
    <row r="279">
      <c r="A279" t="inlineStr">
        <is>
          <t>2017NE00816</t>
        </is>
      </c>
      <c r="B279" t="inlineStr">
        <is>
          <t>6/2011</t>
        </is>
      </c>
      <c r="C279" t="inlineStr">
        <is>
          <t>01/09/2017</t>
        </is>
      </c>
      <c r="D279" t="n">
        <v>1020.49</v>
      </c>
      <c r="E279" t="inlineStr">
        <is>
          <t>Ativo</t>
        </is>
      </c>
      <c r="F279" t="inlineStr">
        <is>
          <t>Para atender despesa com Contrato de serviço de informática.</t>
        </is>
      </c>
    </row>
    <row r="280">
      <c r="A280" t="inlineStr">
        <is>
          <t>2017NE00737</t>
        </is>
      </c>
      <c r="B280" t="inlineStr">
        <is>
          <t>6/2011</t>
        </is>
      </c>
      <c r="C280" t="inlineStr">
        <is>
          <t>01/08/2017</t>
        </is>
      </c>
      <c r="D280" t="n">
        <v>2040.98</v>
      </c>
      <c r="E280" t="inlineStr">
        <is>
          <t>Ativo</t>
        </is>
      </c>
      <c r="F280" t="inlineStr">
        <is>
          <t>Para atender despesa com contrato 06/2011 - 6. TA</t>
        </is>
      </c>
    </row>
    <row r="281">
      <c r="A281" t="inlineStr">
        <is>
          <t>2016NE00698</t>
        </is>
      </c>
      <c r="B281" t="inlineStr">
        <is>
          <t>4/2012</t>
        </is>
      </c>
      <c r="C281" t="inlineStr">
        <is>
          <t>01/08/2016</t>
        </is>
      </c>
      <c r="D281" t="n">
        <v>398.81</v>
      </c>
      <c r="E281" t="inlineStr">
        <is>
          <t>Ativo</t>
        </is>
      </c>
      <c r="F281" t="inlineStr">
        <is>
          <t>Reforço a NE00200/2016, referente ao 4º Termo Aditivo ao Contrato nº 004/2012-FHAJ</t>
        </is>
      </c>
    </row>
    <row r="282">
      <c r="A282" t="inlineStr">
        <is>
          <t>2016NE00678</t>
        </is>
      </c>
      <c r="B282" t="inlineStr">
        <is>
          <t>6/2011</t>
        </is>
      </c>
      <c r="C282" t="inlineStr">
        <is>
          <t>01/08/2016</t>
        </is>
      </c>
      <c r="D282" t="n">
        <v>1020.49</v>
      </c>
      <c r="E282" t="inlineStr">
        <is>
          <t>Ativo</t>
        </is>
      </c>
      <c r="F282" t="inlineStr">
        <is>
          <t>Reforço a NE00074/2016, referente ao 5º Termo Aditivo ao Contrato nº 006/2011-FHAJ.</t>
        </is>
      </c>
    </row>
    <row r="283">
      <c r="A283" t="inlineStr">
        <is>
          <t>2016NE00679</t>
        </is>
      </c>
      <c r="B283" t="inlineStr">
        <is>
          <t>4/2012</t>
        </is>
      </c>
      <c r="C283" t="inlineStr">
        <is>
          <t>01/08/2016</t>
        </is>
      </c>
      <c r="D283" t="n">
        <v>398.81</v>
      </c>
      <c r="E283" t="inlineStr">
        <is>
          <t>Ativo</t>
        </is>
      </c>
      <c r="F283" t="inlineStr">
        <is>
          <t>Reforço a NE00200/2016, referente ao 4º Termo Aditivo ao Contrato nº 004/2012-FHAJ.</t>
        </is>
      </c>
    </row>
    <row r="284">
      <c r="A284" t="inlineStr">
        <is>
          <t>2015NE00567</t>
        </is>
      </c>
      <c r="B284" t="inlineStr">
        <is>
          <t>4/2012</t>
        </is>
      </c>
      <c r="C284" t="inlineStr">
        <is>
          <t>01/07/2015</t>
        </is>
      </c>
      <c r="D284" t="n">
        <v>398.81</v>
      </c>
      <c r="E284" t="inlineStr">
        <is>
          <t>Ativo</t>
        </is>
      </c>
      <c r="F284" t="inlineStr">
        <is>
          <t>cobertura maio/2015</t>
        </is>
      </c>
    </row>
    <row r="285">
      <c r="A285" t="inlineStr">
        <is>
          <t>2015NE00568</t>
        </is>
      </c>
      <c r="B285" t="inlineStr">
        <is>
          <t>11/2011</t>
        </is>
      </c>
      <c r="C285" t="inlineStr">
        <is>
          <t>01/07/2015</t>
        </is>
      </c>
      <c r="D285" t="n">
        <v>5279</v>
      </c>
      <c r="E285" t="inlineStr">
        <is>
          <t>Ativo</t>
        </is>
      </c>
      <c r="F285" t="inlineStr">
        <is>
          <t>cobertura maio/2015.</t>
        </is>
      </c>
    </row>
    <row r="286">
      <c r="A286" t="inlineStr">
        <is>
          <t>2015NE00569</t>
        </is>
      </c>
      <c r="B286" t="inlineStr">
        <is>
          <t>12/2010</t>
        </is>
      </c>
      <c r="C286" t="inlineStr">
        <is>
          <t>01/07/2015</t>
        </is>
      </c>
      <c r="D286" t="n">
        <v>9390.08</v>
      </c>
      <c r="E286" t="inlineStr">
        <is>
          <t>Ativo</t>
        </is>
      </c>
      <c r="F286" t="inlineStr">
        <is>
          <t>Reforço a NE00034/2015, 4º Termo Aditivo ao Contrato nº 12/2010-FHAJ, referente a serviços de acesso a Internet.</t>
        </is>
      </c>
    </row>
    <row r="287">
      <c r="A287" t="inlineStr">
        <is>
          <t>2014NE00555</t>
        </is>
      </c>
      <c r="B287" t="inlineStr">
        <is>
          <t>12/2010</t>
        </is>
      </c>
      <c r="C287" t="inlineStr">
        <is>
          <t>01/06/2014</t>
        </is>
      </c>
      <c r="D287" t="n">
        <v>9565.42</v>
      </c>
      <c r="E287" t="inlineStr">
        <is>
          <t>Ativo</t>
        </is>
      </c>
      <c r="F287" t="inlineStr">
        <is>
          <t>Contrato No. 12/2010 - Internet/Computador banda 3.256Kb-MetroMAO</t>
        </is>
      </c>
    </row>
    <row r="288">
      <c r="A288" t="inlineStr">
        <is>
          <t>2024NE0000365</t>
        </is>
      </c>
      <c r="B288" t="inlineStr">
        <is>
          <t>4/2024</t>
        </is>
      </c>
      <c r="C288" t="inlineStr">
        <is>
          <t>01/04/2024</t>
        </is>
      </c>
      <c r="D288" t="n">
        <v>2717.66</v>
      </c>
      <c r="E288" t="inlineStr">
        <is>
          <t>Ativo</t>
        </is>
      </c>
      <c r="F288" t="inlineStr">
        <is>
          <t>CONTRATAÇÃODE EMPRESA ESPECIALIZADA PARA O SERVIÇO DE CONFECÇÃO, DESENVOLVIMENTO E HOSPEDAGEM DE PÁGINA ELETRÔNICA E SITE INSTITUCIONAL PARA ATENDER A NECESSIDADES DA FUNDAÇÃO HOSPITAL ADRIANO JORGE –</t>
        </is>
      </c>
    </row>
    <row r="289">
      <c r="A289" t="inlineStr">
        <is>
          <t>2015NE00206</t>
        </is>
      </c>
      <c r="B289" t="inlineStr">
        <is>
          <t>6/2011</t>
        </is>
      </c>
      <c r="C289" t="inlineStr">
        <is>
          <t>01/04/2015</t>
        </is>
      </c>
      <c r="D289" t="n">
        <v>1020.49</v>
      </c>
      <c r="E289" t="inlineStr">
        <is>
          <t>Ativo</t>
        </is>
      </c>
      <c r="F289" t="inlineStr">
        <is>
          <t>cobertura março 2015</t>
        </is>
      </c>
    </row>
    <row r="290">
      <c r="A290" t="inlineStr">
        <is>
          <t>2015NE00200</t>
        </is>
      </c>
      <c r="B290" t="inlineStr">
        <is>
          <t>4/2012</t>
        </is>
      </c>
      <c r="C290" t="inlineStr">
        <is>
          <t>01/04/2015</t>
        </is>
      </c>
      <c r="D290" t="n">
        <v>398.81</v>
      </c>
      <c r="E290" t="inlineStr">
        <is>
          <t>Ativo</t>
        </is>
      </c>
      <c r="F290" t="inlineStr">
        <is>
          <t>COBERTURA MARÇO 2015</t>
        </is>
      </c>
    </row>
    <row r="291">
      <c r="A291" t="inlineStr">
        <is>
          <t>2019NE00173</t>
        </is>
      </c>
      <c r="B291" t="inlineStr"/>
      <c r="C291" t="inlineStr">
        <is>
          <t>01/03/2019</t>
        </is>
      </c>
      <c r="D291" t="n">
        <v>1666.67</v>
      </c>
      <c r="E291" t="inlineStr">
        <is>
          <t>Ativo</t>
        </is>
      </c>
      <c r="F291" t="inlineStr">
        <is>
          <t>Anulação parcial da NE00013, pelo motivo do empenhamento a maior no mês de março/2019.</t>
        </is>
      </c>
    </row>
    <row r="292">
      <c r="A292" t="inlineStr">
        <is>
          <t>2019NE00178</t>
        </is>
      </c>
      <c r="B292" t="inlineStr"/>
      <c r="C292" t="inlineStr">
        <is>
          <t>01/03/2019</t>
        </is>
      </c>
      <c r="D292" t="n">
        <v>444.81</v>
      </c>
      <c r="E292" t="inlineStr">
        <is>
          <t>Ativo</t>
        </is>
      </c>
      <c r="F292" t="inlineStr">
        <is>
          <t>Anulação parcial da NE00024/2019, pelo motivo da descrição incorreta.</t>
        </is>
      </c>
    </row>
    <row r="293">
      <c r="A293" t="inlineStr">
        <is>
          <t>2019NE00177</t>
        </is>
      </c>
      <c r="B293" t="inlineStr">
        <is>
          <t>1/2018</t>
        </is>
      </c>
      <c r="C293" t="inlineStr">
        <is>
          <t>01/03/2019</t>
        </is>
      </c>
      <c r="D293" t="n">
        <v>444.81</v>
      </c>
      <c r="E293" t="inlineStr">
        <is>
          <t>Ativo</t>
        </is>
      </c>
      <c r="F293" t="inlineStr">
        <is>
          <t>Referente ao 1º AD ao CT nº 001/2018-FHAJ, serv. de confecções de páginas eletrônicas (reforço à NE24/2019 - complemento de março/19).</t>
        </is>
      </c>
    </row>
    <row r="294">
      <c r="A294" t="inlineStr">
        <is>
          <t>2019NE00176</t>
        </is>
      </c>
      <c r="B294" t="inlineStr">
        <is>
          <t>9/2017</t>
        </is>
      </c>
      <c r="C294" t="inlineStr">
        <is>
          <t>01/03/2019</t>
        </is>
      </c>
      <c r="D294" t="n">
        <v>5221.86</v>
      </c>
      <c r="E294" t="inlineStr">
        <is>
          <t>Ativo</t>
        </is>
      </c>
      <c r="F294" t="inlineStr">
        <is>
          <t>Referente ao 2º TA ao CT nº 009/17 - internet banda larga - parcial de março/2019.</t>
        </is>
      </c>
    </row>
    <row r="295">
      <c r="A295" t="inlineStr">
        <is>
          <t>2016NE00200</t>
        </is>
      </c>
      <c r="B295" t="inlineStr">
        <is>
          <t>4/2012</t>
        </is>
      </c>
      <c r="C295" t="inlineStr">
        <is>
          <t>01/03/2016</t>
        </is>
      </c>
      <c r="D295" t="n">
        <v>769.3099999999999</v>
      </c>
      <c r="E295" t="inlineStr">
        <is>
          <t>Ativo</t>
        </is>
      </c>
      <c r="F295" t="inlineStr">
        <is>
          <t>4º Termo Aditivo ao Contrato nº 004/2012-FHAJ, contratação de pessoa jurídica para prestação de serviços de informática.</t>
        </is>
      </c>
    </row>
    <row r="296">
      <c r="A296" t="inlineStr">
        <is>
          <t>2016NE00074</t>
        </is>
      </c>
      <c r="B296" t="inlineStr">
        <is>
          <t>6/2011</t>
        </is>
      </c>
      <c r="C296" t="inlineStr">
        <is>
          <t>01/02/2016</t>
        </is>
      </c>
      <c r="D296" t="n">
        <v>2040.98</v>
      </c>
      <c r="E296" t="inlineStr">
        <is>
          <t>Ativo</t>
        </is>
      </c>
      <c r="F296" t="inlineStr">
        <is>
          <t>5º Termo Aditivo ao Contrato nº 006/2011-FHAJ, de prestação de serviços para desenvolvimento, confecção de páginas eletrônicas e hospedagem de Site Institucional desta Fundação.</t>
        </is>
      </c>
    </row>
    <row r="297">
      <c r="A297" t="inlineStr">
        <is>
          <t>2016NE00075</t>
        </is>
      </c>
      <c r="B297" t="inlineStr">
        <is>
          <t>4/2012</t>
        </is>
      </c>
      <c r="C297" t="inlineStr">
        <is>
          <t>01/02/2016</t>
        </is>
      </c>
      <c r="D297" t="n">
        <v>427.12</v>
      </c>
      <c r="E297" t="inlineStr">
        <is>
          <t>Ativo</t>
        </is>
      </c>
      <c r="F297" t="inlineStr">
        <is>
          <t>Referente ao 3º Termo Aditivo ao Contrato nº 004/2012-FHAJ, para prestação de serviços de informática, instalação, implantação, manutenção do Sistema Inteligente de Senhas-SICS.</t>
        </is>
      </c>
    </row>
    <row r="298">
      <c r="A298" t="inlineStr">
        <is>
          <t>2014NE00096</t>
        </is>
      </c>
      <c r="B298" t="inlineStr">
        <is>
          <t>4/2012</t>
        </is>
      </c>
      <c r="C298" t="inlineStr">
        <is>
          <t>01/02/2014</t>
        </is>
      </c>
      <c r="D298" t="n">
        <v>370.5</v>
      </c>
      <c r="E298" t="inlineStr">
        <is>
          <t>Ativo</t>
        </is>
      </c>
      <c r="F298" t="inlineStr">
        <is>
          <t>Contrato No. 4/2012 - Manutenção Sist Senhas- 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142153</t>
        </is>
      </c>
      <c r="B2" t="inlineStr">
        <is>
          <t>142153</t>
        </is>
      </c>
      <c r="C2" t="inlineStr">
        <is>
          <t>8/2022</t>
        </is>
      </c>
      <c r="D2" t="inlineStr">
        <is>
          <t>06/2023</t>
        </is>
      </c>
      <c r="E2" t="n">
        <v>9256.1</v>
      </c>
      <c r="F2" t="inlineStr">
        <is>
          <t>Parcialmente Paga</t>
        </is>
      </c>
      <c r="G2" t="inlineStr">
        <is>
          <t>COMPLETA</t>
        </is>
      </c>
      <c r="H2" t="n">
        <v>160</v>
      </c>
    </row>
    <row r="3">
      <c r="A3" t="inlineStr">
        <is>
          <t>167379</t>
        </is>
      </c>
      <c r="B3" t="inlineStr">
        <is>
          <t>167379</t>
        </is>
      </c>
      <c r="C3" t="inlineStr">
        <is>
          <t>8/2022</t>
        </is>
      </c>
      <c r="D3" t="inlineStr">
        <is>
          <t>04/2026</t>
        </is>
      </c>
      <c r="E3" t="n">
        <v>9256</v>
      </c>
      <c r="F3" t="inlineStr">
        <is>
          <t>Emitida</t>
        </is>
      </c>
      <c r="G3" t="inlineStr">
        <is>
          <t>FORTE</t>
        </is>
      </c>
      <c r="H3" t="n">
        <v>160</v>
      </c>
    </row>
    <row r="4">
      <c r="A4" t="inlineStr">
        <is>
          <t>167380</t>
        </is>
      </c>
      <c r="B4" t="inlineStr">
        <is>
          <t>167380</t>
        </is>
      </c>
      <c r="C4" t="inlineStr">
        <is>
          <t>4/2024</t>
        </is>
      </c>
      <c r="D4" t="inlineStr">
        <is>
          <t>04/2026</t>
        </is>
      </c>
      <c r="E4" t="n">
        <v>2717.66</v>
      </c>
      <c r="F4" t="inlineStr">
        <is>
          <t>Emitida</t>
        </is>
      </c>
      <c r="G4" t="inlineStr">
        <is>
          <t>FORTE</t>
        </is>
      </c>
      <c r="H4" t="n">
        <v>81</v>
      </c>
    </row>
    <row r="5">
      <c r="A5" t="inlineStr">
        <is>
          <t>166278</t>
        </is>
      </c>
      <c r="B5" t="inlineStr">
        <is>
          <t>547</t>
        </is>
      </c>
      <c r="C5" t="inlineStr">
        <is>
          <t>4/2024</t>
        </is>
      </c>
      <c r="D5" t="inlineStr">
        <is>
          <t>01/2026</t>
        </is>
      </c>
      <c r="E5" t="n">
        <v>2717.66</v>
      </c>
      <c r="F5" t="inlineStr">
        <is>
          <t>Emitida</t>
        </is>
      </c>
      <c r="G5" t="inlineStr">
        <is>
          <t>FORTE</t>
        </is>
      </c>
      <c r="H5" t="n">
        <v>81</v>
      </c>
    </row>
    <row r="6">
      <c r="A6" t="inlineStr">
        <is>
          <t>145183</t>
        </is>
      </c>
      <c r="B6" t="inlineStr">
        <is>
          <t>41142</t>
        </is>
      </c>
      <c r="C6" t="inlineStr">
        <is>
          <t>1/2018</t>
        </is>
      </c>
      <c r="D6" t="inlineStr">
        <is>
          <t>10/2023</t>
        </is>
      </c>
      <c r="E6" t="n">
        <v>2297.09</v>
      </c>
      <c r="F6" t="inlineStr">
        <is>
          <t>Emitida</t>
        </is>
      </c>
      <c r="G6" t="inlineStr">
        <is>
          <t>COMPLETA</t>
        </is>
      </c>
      <c r="H6" t="n">
        <v>376</v>
      </c>
    </row>
    <row r="7">
      <c r="A7" t="inlineStr">
        <is>
          <t>146738</t>
        </is>
      </c>
      <c r="B7" t="inlineStr">
        <is>
          <t>42550</t>
        </is>
      </c>
      <c r="C7" t="inlineStr">
        <is>
          <t>1/2018</t>
        </is>
      </c>
      <c r="D7" t="inlineStr">
        <is>
          <t>12/2023</t>
        </is>
      </c>
      <c r="E7" t="n">
        <v>2297.09</v>
      </c>
      <c r="F7" t="inlineStr">
        <is>
          <t>Emitida</t>
        </is>
      </c>
      <c r="G7" t="inlineStr">
        <is>
          <t>FORTE</t>
        </is>
      </c>
      <c r="H7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FHAJ</t>
        </is>
      </c>
      <c r="B2" t="inlineStr">
        <is>
          <t>Acesso Gerenciado à Rede Mundial</t>
        </is>
      </c>
      <c r="C2" t="inlineStr">
        <is>
          <t>008/2022</t>
        </is>
      </c>
      <c r="D2" t="inlineStr">
        <is>
          <t>142153</t>
        </is>
      </c>
      <c r="E2" t="inlineStr">
        <is>
          <t>06/2023</t>
        </is>
      </c>
      <c r="F2" t="inlineStr">
        <is>
          <t>835,90</t>
        </is>
      </c>
      <c r="G2" t="inlineStr">
        <is>
          <t>990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FHAJ</t>
        </is>
      </c>
      <c r="B3" t="inlineStr">
        <is>
          <t>Licença de uso de sistemas de informação</t>
        </is>
      </c>
      <c r="C3" t="inlineStr">
        <is>
          <t>001/2018</t>
        </is>
      </c>
      <c r="D3" t="inlineStr">
        <is>
          <t>145183</t>
        </is>
      </c>
      <c r="E3" t="inlineStr">
        <is>
          <t>10/2023</t>
        </is>
      </c>
      <c r="F3" t="inlineStr">
        <is>
          <t>2.297,09</t>
        </is>
      </c>
      <c r="G3" t="inlineStr">
        <is>
          <t>869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FHAJ</t>
        </is>
      </c>
      <c r="B4" t="inlineStr">
        <is>
          <t>Licença de uso de sistemas de informação</t>
        </is>
      </c>
      <c r="C4" t="inlineStr">
        <is>
          <t>001/2018</t>
        </is>
      </c>
      <c r="D4" t="inlineStr">
        <is>
          <t>146738</t>
        </is>
      </c>
      <c r="E4" t="inlineStr">
        <is>
          <t>12/2023</t>
        </is>
      </c>
      <c r="F4" t="inlineStr">
        <is>
          <t>2.297,09</t>
        </is>
      </c>
      <c r="G4" t="inlineStr">
        <is>
          <t>805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FHAJ</t>
        </is>
      </c>
      <c r="B5" t="inlineStr">
        <is>
          <t>Licença de uso de sistemas de informação</t>
        </is>
      </c>
      <c r="C5" t="inlineStr">
        <is>
          <t>004/2024</t>
        </is>
      </c>
      <c r="D5" t="inlineStr">
        <is>
          <t>166278</t>
        </is>
      </c>
      <c r="E5" t="inlineStr">
        <is>
          <t>01/2026</t>
        </is>
      </c>
      <c r="F5" t="inlineStr">
        <is>
          <t>2.717,66</t>
        </is>
      </c>
      <c r="G5" t="inlineStr">
        <is>
          <t>42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2026-04-14T17:21:32Z</dcterms:created>
  <dcterms:modified xmlns:dcterms="http://purl.org/dc/terms/" xmlns:xsi="http://www.w3.org/2001/XMLSchema-instance" xsi:type="dcterms:W3CDTF">2026-04-14T17:21:32Z</dcterms:modified>
</cp:coreProperties>
</file>