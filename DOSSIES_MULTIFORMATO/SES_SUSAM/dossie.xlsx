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SES/SUSAM</t>
        </is>
      </c>
    </row>
    <row r="3">
      <c r="A3" t="inlineStr">
        <is>
          <t>nome_completo</t>
        </is>
      </c>
      <c r="B3" t="inlineStr">
        <is>
          <t>Secretaria de Saúde do Amazonas / Fundação de Medicina Tropical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00.697.295/0001-05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14748048.9572181</t>
        </is>
      </c>
    </row>
    <row r="9">
      <c r="A9" t="inlineStr">
        <is>
          <t>val_atualizado</t>
        </is>
      </c>
      <c r="B9" t="inlineStr">
        <is>
          <t>43921619.17034938</t>
        </is>
      </c>
    </row>
    <row r="10">
      <c r="A10" t="inlineStr">
        <is>
          <t>faturas_exigiveis</t>
        </is>
      </c>
      <c r="B10" t="inlineStr">
        <is>
          <t>144</t>
        </is>
      </c>
    </row>
    <row r="11">
      <c r="A11" t="inlineStr">
        <is>
          <t>faturas_prescritas</t>
        </is>
      </c>
      <c r="B11" t="inlineStr">
        <is>
          <t>180</t>
        </is>
      </c>
    </row>
    <row r="12">
      <c r="A12" t="inlineStr">
        <is>
          <t>p_recuperacao</t>
        </is>
      </c>
      <c r="B12" t="inlineStr">
        <is>
          <t>0.75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2025NE0006464</t>
        </is>
      </c>
      <c r="B2" t="inlineStr">
        <is>
          <t>18/2021</t>
        </is>
      </c>
      <c r="C2" t="inlineStr">
        <is>
          <t>31/10/2025</t>
        </is>
      </c>
      <c r="D2" t="n">
        <v>545307.0600000001</v>
      </c>
      <c r="E2" t="inlineStr">
        <is>
          <t>Ativo</t>
        </is>
      </c>
      <c r="F2">
        <f>CONTRATO 018/2021 - 2º TA;=VIGÊNCIA: 14/06/2023 a 13/06/2024=SERVIÇO DE DESENVOLVIMENTO DE SISTEMAS DE INFORMAÇAO, DE ACESSO, CONSULTORIA/ASSESSORIA E PRODUCAO DE REPOSITORIOS E ARMAZENS DE DADOS (DA</f>
        <v/>
      </c>
    </row>
    <row r="3">
      <c r="A3" t="inlineStr">
        <is>
          <t>2022NE0003608</t>
        </is>
      </c>
      <c r="B3" t="inlineStr"/>
      <c r="C3" t="inlineStr">
        <is>
          <t>31/08/2022</t>
        </is>
      </c>
      <c r="D3" t="n">
        <v>675286.0600000001</v>
      </c>
      <c r="E3" t="inlineStr">
        <is>
          <t>Ativo</t>
        </is>
      </c>
      <c r="F3">
        <f>ANULAÇÃO PARCIAL; =SALDO DE EMPENHO</f>
        <v/>
      </c>
    </row>
    <row r="4">
      <c r="A4" t="inlineStr">
        <is>
          <t>2022NE0003583</t>
        </is>
      </c>
      <c r="B4" t="inlineStr"/>
      <c r="C4" t="inlineStr">
        <is>
          <t>31/08/2022</t>
        </is>
      </c>
      <c r="D4" t="n">
        <v>51901.56</v>
      </c>
      <c r="E4" t="inlineStr">
        <is>
          <t>Ativo</t>
        </is>
      </c>
      <c r="F4">
        <f>ANULAÇÃO PARCIAL =MOTIVO: SALDO DE EMPENHO</f>
        <v/>
      </c>
    </row>
    <row r="5">
      <c r="A5" t="inlineStr">
        <is>
          <t>2026NE0001322</t>
        </is>
      </c>
      <c r="B5" t="inlineStr">
        <is>
          <t>18/2021</t>
        </is>
      </c>
      <c r="C5" t="inlineStr">
        <is>
          <t>31/03/2026</t>
        </is>
      </c>
      <c r="D5" t="n">
        <v>263934.54</v>
      </c>
      <c r="E5" t="inlineStr">
        <is>
          <t>Ativo</t>
        </is>
      </c>
      <c r="F5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6">
      <c r="A6" t="inlineStr">
        <is>
          <t>2026NE0001323</t>
        </is>
      </c>
      <c r="B6" t="inlineStr">
        <is>
          <t>21/2021</t>
        </is>
      </c>
      <c r="C6" t="inlineStr">
        <is>
          <t>31/03/2026</t>
        </is>
      </c>
      <c r="D6" t="n">
        <v>289705.28</v>
      </c>
      <c r="E6" t="inlineStr">
        <is>
          <t>Ativo</t>
        </is>
      </c>
      <c r="F6" t="inlineStr">
        <is>
          <t>Contratação da prestação de serviços de fornecimento de circuito de transmissão de dados com link ponto a ponto entre as unidades da SES-AM TC: 0021/2021 AD: 05.</t>
        </is>
      </c>
    </row>
    <row r="7">
      <c r="A7" t="inlineStr">
        <is>
          <t>2024NE0007167</t>
        </is>
      </c>
      <c r="B7" t="inlineStr"/>
      <c r="C7" t="inlineStr">
        <is>
          <t>30/12/2024</t>
        </is>
      </c>
      <c r="D7" t="n">
        <v>11391.98</v>
      </c>
      <c r="E7" t="inlineStr">
        <is>
          <t>Ativo</t>
        </is>
      </c>
      <c r="F7" t="inlineStr">
        <is>
          <t>ANULAÇÃO PARCIAL MOTIVO: SALDO DE EMPENHO</t>
        </is>
      </c>
    </row>
    <row r="8">
      <c r="A8" t="inlineStr">
        <is>
          <t>2024NE0007218</t>
        </is>
      </c>
      <c r="B8" t="inlineStr"/>
      <c r="C8" t="inlineStr">
        <is>
          <t>30/12/2024</t>
        </is>
      </c>
      <c r="D8" t="n">
        <v>24672.29</v>
      </c>
      <c r="E8" t="inlineStr">
        <is>
          <t>Ativo</t>
        </is>
      </c>
      <c r="F8">
        <f>ANULAÇAO PARCIAL DA NE =MOTIVO: SALDO DE EMPENHO</f>
        <v/>
      </c>
    </row>
    <row r="9">
      <c r="A9" t="inlineStr">
        <is>
          <t>2024NE0007164</t>
        </is>
      </c>
      <c r="B9" t="inlineStr"/>
      <c r="C9" t="inlineStr">
        <is>
          <t>30/12/2024</t>
        </is>
      </c>
      <c r="D9" t="n">
        <v>3102.7</v>
      </c>
      <c r="E9" t="inlineStr">
        <is>
          <t>Ativo</t>
        </is>
      </c>
      <c r="F9">
        <f>ANULAÇÃO PARCIAL =MOTIVO: SALDO DED EMPENHO</f>
        <v/>
      </c>
    </row>
    <row r="10">
      <c r="A10" t="inlineStr">
        <is>
          <t>2024NE0007168</t>
        </is>
      </c>
      <c r="B10" t="inlineStr"/>
      <c r="C10" t="inlineStr">
        <is>
          <t>30/12/2024</t>
        </is>
      </c>
      <c r="D10" t="n">
        <v>8782.219999999999</v>
      </c>
      <c r="E10" t="inlineStr">
        <is>
          <t>Ativo</t>
        </is>
      </c>
      <c r="F10" t="inlineStr">
        <is>
          <t>ANULAÇÃO PARCIAL MOTIVO: SALDO DE EMPENHO</t>
        </is>
      </c>
    </row>
    <row r="11">
      <c r="A11" t="inlineStr">
        <is>
          <t>2019NE04275</t>
        </is>
      </c>
      <c r="B11" t="inlineStr"/>
      <c r="C11" t="inlineStr">
        <is>
          <t>30/12/2019</t>
        </is>
      </c>
      <c r="D11" t="n">
        <v>471.91</v>
      </c>
      <c r="E11" t="inlineStr">
        <is>
          <t>Ativo</t>
        </is>
      </c>
      <c r="F11">
        <f>ANULAÇÃO PARCIAL DA NE =MOTIVO: SALDO DE EMPENHO =ENCERRAMENTO DO EXERCICIO - DECRETO 41.554/2019</f>
        <v/>
      </c>
    </row>
    <row r="12">
      <c r="A12" t="inlineStr">
        <is>
          <t>2025NE0005682</t>
        </is>
      </c>
      <c r="B12" t="inlineStr">
        <is>
          <t>21/2021</t>
        </is>
      </c>
      <c r="C12" t="inlineStr">
        <is>
          <t>30/09/2025</t>
        </is>
      </c>
      <c r="D12" t="n">
        <v>297701.3</v>
      </c>
      <c r="E12" t="inlineStr">
        <is>
          <t>Ativo</t>
        </is>
      </c>
      <c r="F12" t="inlineStr">
        <is>
          <t>Contratação da prestação de serviços de fornecimento de circuito de transmissão de dados com link ponto a ponto entre as unidades da SES-AM TC: 0021/2021 AD: 03.</t>
        </is>
      </c>
    </row>
    <row r="13">
      <c r="A13" t="inlineStr">
        <is>
          <t>2022NE0004146</t>
        </is>
      </c>
      <c r="B13" t="inlineStr">
        <is>
          <t>18/2021</t>
        </is>
      </c>
      <c r="C13" t="inlineStr">
        <is>
          <t>30/09/2022</t>
        </is>
      </c>
      <c r="D13" t="n">
        <v>638786.27</v>
      </c>
      <c r="E13" t="inlineStr">
        <is>
          <t>Ativo</t>
        </is>
      </c>
      <c r="F13" t="inlineStr">
        <is>
          <t>REFORÇO</t>
        </is>
      </c>
    </row>
    <row r="14">
      <c r="A14" t="inlineStr">
        <is>
          <t>2021NE0003457</t>
        </is>
      </c>
      <c r="B14" t="inlineStr">
        <is>
          <t>5/2021</t>
        </is>
      </c>
      <c r="C14" t="inlineStr">
        <is>
          <t>30/09/2021</t>
        </is>
      </c>
      <c r="D14" t="n">
        <v>34245.6</v>
      </c>
      <c r="E14" t="inlineStr">
        <is>
          <t>Ativo</t>
        </is>
      </c>
      <c r="F14">
        <f> REFORÇO DA NE 01057/2021 AO TERMO AO CONTRATO DE PRESTAÇÃO DE SERVIÇOS DE INFORMÁTICA Nº 005/2021 - SES-AM</f>
        <v/>
      </c>
    </row>
    <row r="15">
      <c r="A15" t="inlineStr">
        <is>
          <t>2020NE02925</t>
        </is>
      </c>
      <c r="B15" t="inlineStr"/>
      <c r="C15" t="inlineStr">
        <is>
          <t>30/09/2020</t>
        </is>
      </c>
      <c r="D15" t="n">
        <v>244342.56</v>
      </c>
      <c r="E15" t="inlineStr">
        <is>
          <t>Ativo</t>
        </is>
      </c>
      <c r="F15">
        <f>DESPESA SEM COBERTURA CONTRATUAL; =RI: 00384/2020; =SERVIÇO DE FIREWALL, TRANSMISSÃO DE DADOS E ACESSO GERENCIADO A REDE MUNDIAL; =ICAM, PSC ZONA OESTE E ZONA SUL, CENTRAL DE REGULAÇÃO, 28 DE AGOSTO,</f>
        <v/>
      </c>
    </row>
    <row r="16">
      <c r="A16" t="inlineStr">
        <is>
          <t>2015NE02920</t>
        </is>
      </c>
      <c r="B16" t="inlineStr">
        <is>
          <t>116/2013</t>
        </is>
      </c>
      <c r="C16" t="inlineStr">
        <is>
          <t>30/07/2015</t>
        </is>
      </c>
      <c r="D16" t="n">
        <v>154015.78</v>
      </c>
      <c r="E16" t="inlineStr">
        <is>
          <t>Ativo</t>
        </is>
      </c>
      <c r="F16" t="inlineStr">
        <is>
          <t>2º Termo Aditivo ao Contrato 116/2013 NE 2920 DE 30/07/2015 R$ 154.015,78</t>
        </is>
      </c>
    </row>
    <row r="17">
      <c r="A17" t="inlineStr">
        <is>
          <t>2015NE02922</t>
        </is>
      </c>
      <c r="B17" t="inlineStr">
        <is>
          <t>116/2013</t>
        </is>
      </c>
      <c r="C17" t="inlineStr">
        <is>
          <t>30/07/2015</t>
        </is>
      </c>
      <c r="D17" t="n">
        <v>154015.78</v>
      </c>
      <c r="E17" t="inlineStr">
        <is>
          <t>Ativo</t>
        </is>
      </c>
      <c r="F17">
        <f>ANULAÇÃO TOTAL DA NOTA DE EMPENHO =MOTIVO: AJUSTE ORÇAMENTARIO</f>
        <v/>
      </c>
    </row>
    <row r="18">
      <c r="A18" t="inlineStr">
        <is>
          <t>2014NE02164</t>
        </is>
      </c>
      <c r="B18" t="inlineStr">
        <is>
          <t>51/2008</t>
        </is>
      </c>
      <c r="C18" t="inlineStr">
        <is>
          <t>30/06/2014</t>
        </is>
      </c>
      <c r="D18" t="n">
        <v>22211.31</v>
      </c>
      <c r="E18" t="inlineStr">
        <is>
          <t>Ativo</t>
        </is>
      </c>
      <c r="F18" t="inlineStr">
        <is>
          <t>Contrato No. 51/2008 - Complexo Regulador</t>
        </is>
      </c>
    </row>
    <row r="19">
      <c r="A19" t="inlineStr">
        <is>
          <t>2014NE02177</t>
        </is>
      </c>
      <c r="B19" t="inlineStr">
        <is>
          <t>52/2008</t>
        </is>
      </c>
      <c r="C19" t="inlineStr">
        <is>
          <t>30/06/2014</t>
        </is>
      </c>
      <c r="D19" t="n">
        <v>296355.56</v>
      </c>
      <c r="E19" t="inlineStr">
        <is>
          <t>Ativo</t>
        </is>
      </c>
      <c r="F19" t="inlineStr">
        <is>
          <t>Contrato No. 52/2008 - Instalação de Links nas unidades de Saíde</t>
        </is>
      </c>
    </row>
    <row r="20">
      <c r="A20" t="inlineStr">
        <is>
          <t>2025NE0003011</t>
        </is>
      </c>
      <c r="B20" t="inlineStr"/>
      <c r="C20" t="inlineStr">
        <is>
          <t>30/05/2025</t>
        </is>
      </c>
      <c r="D20" t="n">
        <v>31920.75</v>
      </c>
      <c r="E20" t="inlineStr">
        <is>
          <t>Ativo</t>
        </is>
      </c>
      <c r="F20">
        <f>ANULAÇÃO PARCIAL DA NE 0014/25 =MOTIVO: SALDO DE EMPENHO</f>
        <v/>
      </c>
    </row>
    <row r="21">
      <c r="A21" t="inlineStr">
        <is>
          <t>2025NE0003009</t>
        </is>
      </c>
      <c r="B21" t="inlineStr"/>
      <c r="C21" t="inlineStr">
        <is>
          <t>30/05/2025</t>
        </is>
      </c>
      <c r="D21" t="n">
        <v>370149.81</v>
      </c>
      <c r="E21" t="inlineStr">
        <is>
          <t>Ativo</t>
        </is>
      </c>
      <c r="F21">
        <f>ANULAÇÃO PARCIAL DA NE 0008/25 =MOTIVO: SALDO DE EMPENHO</f>
        <v/>
      </c>
    </row>
    <row r="22">
      <c r="A22" t="inlineStr">
        <is>
          <t>2025NE0002172</t>
        </is>
      </c>
      <c r="B22" t="inlineStr">
        <is>
          <t>18/2024</t>
        </is>
      </c>
      <c r="C22" t="inlineStr">
        <is>
          <t>30/04/2025</t>
        </is>
      </c>
      <c r="D22" t="n">
        <v>146012.35</v>
      </c>
      <c r="E22" t="inlineStr">
        <is>
          <t>Ativo</t>
        </is>
      </c>
      <c r="F22" t="inlineStr">
        <is>
          <t>Contratação de pessoa jurídica especializada para prestação de serviços PRODAM-RH a fim de atender as necessidades da Secretaria de Estado de Saúde – SES/AM</t>
        </is>
      </c>
    </row>
    <row r="23">
      <c r="A23" t="inlineStr">
        <is>
          <t>2025NE0002175</t>
        </is>
      </c>
      <c r="B23" t="inlineStr">
        <is>
          <t>5/2021</t>
        </is>
      </c>
      <c r="C23" t="inlineStr">
        <is>
          <t>30/04/2025</t>
        </is>
      </c>
      <c r="D23" t="n">
        <v>36112.42</v>
      </c>
      <c r="E23" t="inlineStr">
        <is>
          <t>Ativo</t>
        </is>
      </c>
      <c r="F23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24">
      <c r="A24" t="inlineStr">
        <is>
          <t>2014NE01495</t>
        </is>
      </c>
      <c r="B24" t="inlineStr">
        <is>
          <t>51/2008</t>
        </is>
      </c>
      <c r="C24" t="inlineStr">
        <is>
          <t>30/04/2014</t>
        </is>
      </c>
      <c r="D24" t="n">
        <v>22211.31</v>
      </c>
      <c r="E24" t="inlineStr">
        <is>
          <t>Ativo</t>
        </is>
      </c>
      <c r="F24" t="inlineStr">
        <is>
          <t>Contrato No. 51/2008 - Complexo Regulador</t>
        </is>
      </c>
    </row>
    <row r="25">
      <c r="A25" t="inlineStr">
        <is>
          <t>2014NE01496</t>
        </is>
      </c>
      <c r="B25" t="inlineStr">
        <is>
          <t>52/2008</t>
        </is>
      </c>
      <c r="C25" t="inlineStr">
        <is>
          <t>30/04/2014</t>
        </is>
      </c>
      <c r="D25" t="n">
        <v>296355.56</v>
      </c>
      <c r="E25" t="inlineStr">
        <is>
          <t>Ativo</t>
        </is>
      </c>
      <c r="F25" t="inlineStr">
        <is>
          <t>Contrato No. 52/2008 - Instalação de Links nas unidades de Saíde</t>
        </is>
      </c>
    </row>
    <row r="26">
      <c r="A26" t="inlineStr">
        <is>
          <t>2022NE0006062</t>
        </is>
      </c>
      <c r="B26" t="inlineStr"/>
      <c r="C26" t="inlineStr">
        <is>
          <t>29/12/2022</t>
        </is>
      </c>
      <c r="D26" t="n">
        <v>13455.96</v>
      </c>
      <c r="E26" t="inlineStr">
        <is>
          <t>Ativo</t>
        </is>
      </c>
      <c r="F26">
        <f>ANULAÇÃO PARCIAL; =ENCERRAMENTO DO EXERCÍCIO, CONFORME DECRETO Nº 46.621 DE 11/11/2022.</f>
        <v/>
      </c>
    </row>
    <row r="27">
      <c r="A27" t="inlineStr">
        <is>
          <t>2022NE0006059</t>
        </is>
      </c>
      <c r="B27" t="inlineStr"/>
      <c r="C27" t="inlineStr">
        <is>
          <t>29/12/2022</t>
        </is>
      </c>
      <c r="D27" t="n">
        <v>17300.52</v>
      </c>
      <c r="E27" t="inlineStr">
        <is>
          <t>Ativo</t>
        </is>
      </c>
      <c r="F27">
        <f>ANULAÇÃO PARCIAL; =ENCERRAMENTO DO EXERCÍCIO, CONFORME DECRETO Nº 46.621 DE 11/11/2022.</f>
        <v/>
      </c>
    </row>
    <row r="28">
      <c r="A28" t="inlineStr">
        <is>
          <t>2022NE0006079</t>
        </is>
      </c>
      <c r="B28" t="inlineStr"/>
      <c r="C28" t="inlineStr">
        <is>
          <t>29/12/2022</t>
        </is>
      </c>
      <c r="D28" t="n">
        <v>2819.34</v>
      </c>
      <c r="E28" t="inlineStr">
        <is>
          <t>Ativo</t>
        </is>
      </c>
      <c r="F28">
        <f>ANULAÇÃO PARCIAL; =ENCERRAMENTO DO EXERCÍCIO, CONFORME DECRETO Nº 46.621 DE 11/11/2022.</f>
        <v/>
      </c>
    </row>
    <row r="29">
      <c r="A29" t="inlineStr">
        <is>
          <t>2022NE0006071</t>
        </is>
      </c>
      <c r="B29" t="inlineStr"/>
      <c r="C29" t="inlineStr">
        <is>
          <t>29/12/2022</t>
        </is>
      </c>
      <c r="D29" t="n">
        <v>8054.42</v>
      </c>
      <c r="E29" t="inlineStr">
        <is>
          <t>Ativo</t>
        </is>
      </c>
      <c r="F29">
        <f>ANULAÇÃO PARCIAL; =ENCERRAMENTO DO EXERCÍCIO, CONFORME DECRETO Nº 46.621 DE 11/11/2022.</f>
        <v/>
      </c>
    </row>
    <row r="30">
      <c r="A30" t="inlineStr">
        <is>
          <t>2022NE0006069</t>
        </is>
      </c>
      <c r="B30" t="inlineStr"/>
      <c r="C30" t="inlineStr">
        <is>
          <t>29/12/2022</t>
        </is>
      </c>
      <c r="D30" t="n">
        <v>7689.12</v>
      </c>
      <c r="E30" t="inlineStr">
        <is>
          <t>Ativo</t>
        </is>
      </c>
      <c r="F30">
        <f>ANULAÇÃO PARCIAL; =ENCERRAMENTO DO EXERCÍCIO, CONFORME DECRETO Nº 46.621 DE 11/11/2022.</f>
        <v/>
      </c>
    </row>
    <row r="31">
      <c r="A31" t="inlineStr">
        <is>
          <t>2022NE0006077</t>
        </is>
      </c>
      <c r="B31" t="inlineStr"/>
      <c r="C31" t="inlineStr">
        <is>
          <t>29/12/2022</t>
        </is>
      </c>
      <c r="D31" t="n">
        <v>8183.52</v>
      </c>
      <c r="E31" t="inlineStr">
        <is>
          <t>Ativo</t>
        </is>
      </c>
      <c r="F31">
        <f>ANULAÇÃO PARCIAL; =ENCERRAMENTO DO EXERCÍCIO, CONFORME DECRETO Nº 46.621 DE 11/11/2022.</f>
        <v/>
      </c>
    </row>
    <row r="32">
      <c r="A32" t="inlineStr">
        <is>
          <t>2022NE0006081</t>
        </is>
      </c>
      <c r="B32" t="inlineStr"/>
      <c r="C32" t="inlineStr">
        <is>
          <t>29/12/2022</t>
        </is>
      </c>
      <c r="D32" t="n">
        <v>17028.37</v>
      </c>
      <c r="E32" t="inlineStr">
        <is>
          <t>Ativo</t>
        </is>
      </c>
      <c r="F32">
        <f>ANULAÇÃO PARCIAL; =ENCERRAMENTO DO EXERCÍCIO, CONFORME DECRETO Nº 46.621 DE 11/11/2022.</f>
        <v/>
      </c>
    </row>
    <row r="33">
      <c r="A33" t="inlineStr">
        <is>
          <t>2022NE0006065</t>
        </is>
      </c>
      <c r="B33" t="inlineStr"/>
      <c r="C33" t="inlineStr">
        <is>
          <t>29/12/2022</t>
        </is>
      </c>
      <c r="D33" t="n">
        <v>9611.4</v>
      </c>
      <c r="E33" t="inlineStr">
        <is>
          <t>Ativo</t>
        </is>
      </c>
      <c r="F33">
        <f>ANULAÇÃO PARCIAL; =ENCERRAMENTO DO EXERCÍCIO, CONFORME DECRETO Nº 46.621 DE 11/11/2022.</f>
        <v/>
      </c>
    </row>
    <row r="34">
      <c r="A34" t="inlineStr">
        <is>
          <t>2017NE04135</t>
        </is>
      </c>
      <c r="B34" t="inlineStr"/>
      <c r="C34" t="inlineStr">
        <is>
          <t>29/12/2017</t>
        </is>
      </c>
      <c r="D34" t="n">
        <v>6485.3</v>
      </c>
      <c r="E34" t="inlineStr">
        <is>
          <t>Ativo</t>
        </is>
      </c>
      <c r="F34">
        <f>ANULAÇÃO TOTAL; =EM DECORRÊNCIA DO ENCERRAMENTO DO EXERCÍCIO FINANCEIRO.</f>
        <v/>
      </c>
    </row>
    <row r="35">
      <c r="A35" t="inlineStr">
        <is>
          <t>2017NE04189</t>
        </is>
      </c>
      <c r="B35" t="inlineStr">
        <is>
          <t>2/2015</t>
        </is>
      </c>
      <c r="C35" t="inlineStr">
        <is>
          <t>29/12/2017</t>
        </is>
      </c>
      <c r="D35" t="n">
        <v>254621.91</v>
      </c>
      <c r="E35" t="inlineStr">
        <is>
          <t>Ativo</t>
        </is>
      </c>
      <c r="F35" t="inlineStr">
        <is>
          <t>CONTRATAÇÃO DOS SERVIÇOS DE INFORMÁTICA COMUNICAÇÃO DE DADOS E REDES</t>
        </is>
      </c>
    </row>
    <row r="36">
      <c r="A36" t="inlineStr">
        <is>
          <t>2017NE04136</t>
        </is>
      </c>
      <c r="B36" t="inlineStr"/>
      <c r="C36" t="inlineStr">
        <is>
          <t>29/12/2017</t>
        </is>
      </c>
      <c r="D36" t="n">
        <v>6485.3</v>
      </c>
      <c r="E36" t="inlineStr">
        <is>
          <t>Ativo</t>
        </is>
      </c>
      <c r="F36">
        <f>ANULAÇÃO TOTAL; =EM DECORRÊNCIA DO ENCERRAMENTO DO EXERCÍCIO FINANCEIRO.</f>
        <v/>
      </c>
    </row>
    <row r="37">
      <c r="A37" t="inlineStr">
        <is>
          <t>2025NE0006407</t>
        </is>
      </c>
      <c r="B37" t="inlineStr">
        <is>
          <t>21/2021</t>
        </is>
      </c>
      <c r="C37" t="inlineStr">
        <is>
          <t>29/10/2025</t>
        </is>
      </c>
      <c r="D37" t="n">
        <v>304085.45</v>
      </c>
      <c r="E37" t="inlineStr">
        <is>
          <t>Ativo</t>
        </is>
      </c>
      <c r="F37">
        <f>SEGUNDO TERMO ADITIVO AO CONTRATO N. 021/2021;=VIGÊNCIA: 12/08/2023 A 11/08/2024; =FORNECIMENTO DE CIRCUITO DE TRANSMISSÃO DE DADOS COM LINK PONTO A PONTO, ACESSO GERENCIADO À REDE MUNDIAL, SERVIÇO D</f>
        <v/>
      </c>
    </row>
    <row r="38">
      <c r="A38" t="inlineStr">
        <is>
          <t>2025NE0006429</t>
        </is>
      </c>
      <c r="B38" t="inlineStr">
        <is>
          <t>5/2021</t>
        </is>
      </c>
      <c r="C38" t="inlineStr">
        <is>
          <t>29/10/2025</t>
        </is>
      </c>
      <c r="D38" t="n">
        <v>36112.42</v>
      </c>
      <c r="E38" t="inlineStr">
        <is>
          <t>Ativo</t>
        </is>
      </c>
      <c r="F38">
        <f>SEGUNDO TERMO ADITIVO AO CONTRATO 005/2021;=VIGÊNCIA: 08/02/2023 A 07/02/2024; =SERVIÇOS DE HOSPEDAGEM DE SERVIDORES EM AMBIENTE DE MÁQUINAS VIRTUAIS EM NUVEM; =SES/AM; =PERÍODO: 01/12/2023 A 31/12/2</f>
        <v/>
      </c>
    </row>
    <row r="39">
      <c r="A39" t="inlineStr">
        <is>
          <t>2025NE0006408</t>
        </is>
      </c>
      <c r="B39" t="inlineStr">
        <is>
          <t>18/2021</t>
        </is>
      </c>
      <c r="C39" t="inlineStr">
        <is>
          <t>29/10/2025</t>
        </is>
      </c>
      <c r="D39" t="n">
        <v>544872.49</v>
      </c>
      <c r="E39" t="inlineStr">
        <is>
          <t>Ativo</t>
        </is>
      </c>
      <c r="F39">
        <f>CONTRATO 018/2021 - 2º TA;=VIGÊNCIA: 14/06/2023 a 13/06/2024=SERVIÇO DE DESENVOLVIMENTO DE SISTEMAS DE INFORMAÇAO, DE ACESSO, CONSULTORIA/ASSESSORIA E PRODUCAO DE REPOSITORIOS E ARMAZENS DE DADOS (DA</f>
        <v/>
      </c>
    </row>
    <row r="40">
      <c r="A40" t="inlineStr">
        <is>
          <t>2025NE0006419</t>
        </is>
      </c>
      <c r="B40" t="inlineStr">
        <is>
          <t>5/2021</t>
        </is>
      </c>
      <c r="C40" t="inlineStr">
        <is>
          <t>29/10/2025</t>
        </is>
      </c>
      <c r="D40" t="n">
        <v>36112.42</v>
      </c>
      <c r="E40" t="inlineStr">
        <is>
          <t>Ativo</t>
        </is>
      </c>
      <c r="F40">
        <f>SEGUNDO TERMO ADITIVO AO CONTRATO 005/2021;=VIGÊNCIA: 08/02/2023 A 07/02/2024; =SERVIÇOS DE HOSPEDAGEM DE SERVIDORES EM AMBIENTES DE MÁQUNAS ESPECIALIZADAS VIRTUAIS EM NUVEM, AFIM DE ATENDER AS NECES</f>
        <v/>
      </c>
    </row>
    <row r="41">
      <c r="A41" t="inlineStr">
        <is>
          <t>2022NE0004104</t>
        </is>
      </c>
      <c r="B41" t="inlineStr">
        <is>
          <t>54/2018</t>
        </is>
      </c>
      <c r="C41" t="inlineStr">
        <is>
          <t>29/09/2022</t>
        </is>
      </c>
      <c r="D41" t="n">
        <v>146012.35</v>
      </c>
      <c r="E41" t="inlineStr">
        <is>
          <t>Ativo</t>
        </is>
      </c>
      <c r="F41" t="inlineStr">
        <is>
          <t>prestação de Serviços PRODAM-RH visando manter o cadastro servidores e folha de pagamento de pessoal, processar folha de pagamento e fornecer relatórios para efetivação de pagamento</t>
        </is>
      </c>
    </row>
    <row r="42">
      <c r="A42" t="inlineStr">
        <is>
          <t>2014NE03705</t>
        </is>
      </c>
      <c r="B42" t="inlineStr">
        <is>
          <t>81/2010</t>
        </is>
      </c>
      <c r="C42" t="inlineStr">
        <is>
          <t>29/09/2014</t>
        </is>
      </c>
      <c r="D42" t="n">
        <v>104884.8</v>
      </c>
      <c r="E42" t="inlineStr">
        <is>
          <t>Ativo</t>
        </is>
      </c>
      <c r="F42" t="inlineStr">
        <is>
          <t>Contrato No. 81/2010 - CFPP - Cadastro e Folha de Pagamento de Pessoal</t>
        </is>
      </c>
    </row>
    <row r="43">
      <c r="A43" t="inlineStr">
        <is>
          <t>2025NE0002978</t>
        </is>
      </c>
      <c r="B43" t="inlineStr">
        <is>
          <t>18/2024</t>
        </is>
      </c>
      <c r="C43" t="inlineStr">
        <is>
          <t>29/05/2025</t>
        </is>
      </c>
      <c r="D43" t="n">
        <v>146012.35</v>
      </c>
      <c r="E43" t="inlineStr">
        <is>
          <t>Ativo</t>
        </is>
      </c>
      <c r="F43" t="inlineStr">
        <is>
          <t>Contratação de pessoa jurídica especializada para prestação de serviços PRODAM-RH a fim de atender as necessidades da Secretaria de Estado de Saúde – SES/AM</t>
        </is>
      </c>
    </row>
    <row r="44">
      <c r="A44" t="inlineStr">
        <is>
          <t>2025NE0002967</t>
        </is>
      </c>
      <c r="B44" t="inlineStr">
        <is>
          <t>18/2021</t>
        </is>
      </c>
      <c r="C44" t="inlineStr">
        <is>
          <t>29/05/2025</t>
        </is>
      </c>
      <c r="D44" t="n">
        <v>663084.71</v>
      </c>
      <c r="E44" t="inlineStr">
        <is>
          <t>Ativo</t>
        </is>
      </c>
      <c r="F44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45">
      <c r="A45" t="inlineStr">
        <is>
          <t>2025NE0002066</t>
        </is>
      </c>
      <c r="B45" t="inlineStr"/>
      <c r="C45" t="inlineStr">
        <is>
          <t>29/04/2025</t>
        </is>
      </c>
      <c r="D45" t="n">
        <v>721621.4300000001</v>
      </c>
      <c r="E45" t="inlineStr">
        <is>
          <t>Ativo</t>
        </is>
      </c>
      <c r="F45">
        <f>ANULAÇAO PARCIAL DA NE 0008/2025; =MOTIVO: SALDO DE EMPENHO</f>
        <v/>
      </c>
    </row>
    <row r="46">
      <c r="A46" t="inlineStr">
        <is>
          <t>2025NE0002068</t>
        </is>
      </c>
      <c r="B46" t="inlineStr"/>
      <c r="C46" t="inlineStr">
        <is>
          <t>29/04/2025</t>
        </is>
      </c>
      <c r="D46" t="n">
        <v>74107.52</v>
      </c>
      <c r="E46" t="inlineStr">
        <is>
          <t>Ativo</t>
        </is>
      </c>
      <c r="F46">
        <f>ANULAÇAO PARCIAL DA NE 0014/2025; =MOTIVO: SALDO DE EMPENHO</f>
        <v/>
      </c>
    </row>
    <row r="47">
      <c r="A47" t="inlineStr">
        <is>
          <t>2025NE0002120</t>
        </is>
      </c>
      <c r="B47" t="inlineStr">
        <is>
          <t>18/2021</t>
        </is>
      </c>
      <c r="C47" t="inlineStr">
        <is>
          <t>29/04/2025</t>
        </is>
      </c>
      <c r="D47" t="n">
        <v>663084.71</v>
      </c>
      <c r="E47" t="inlineStr">
        <is>
          <t>Ativo</t>
        </is>
      </c>
      <c r="F47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48">
      <c r="A48" t="inlineStr">
        <is>
          <t>2025NE0002114</t>
        </is>
      </c>
      <c r="B48" t="inlineStr">
        <is>
          <t>21/2021</t>
        </is>
      </c>
      <c r="C48" t="inlineStr">
        <is>
          <t>29/04/2025</t>
        </is>
      </c>
      <c r="D48" t="n">
        <v>315103.97</v>
      </c>
      <c r="E48" t="inlineStr">
        <is>
          <t>Ativo</t>
        </is>
      </c>
      <c r="F48" t="inlineStr">
        <is>
          <t>Contratação da prestação de serviços de fornecimento de circuito de transmissão de dados com link ponto a ponto entre as unidades da SES-AM TC: 0021/2021 AD: 03.</t>
        </is>
      </c>
    </row>
    <row r="49">
      <c r="A49" t="inlineStr">
        <is>
          <t>2022NE0000903</t>
        </is>
      </c>
      <c r="B49" t="inlineStr">
        <is>
          <t>5/2021</t>
        </is>
      </c>
      <c r="C49" t="inlineStr">
        <is>
          <t>29/03/2022</t>
        </is>
      </c>
      <c r="D49" t="n">
        <v>34245.6</v>
      </c>
      <c r="E49" t="inlineStr">
        <is>
          <t>Ativo</t>
        </is>
      </c>
      <c r="F49">
        <f>REFORÇO DA NE 240/22 REF. AO PRIMEIRO TERMO ADITIVO DO CONTRATO 005/2021 =MES: MARÇO/22</f>
        <v/>
      </c>
    </row>
    <row r="50">
      <c r="A50" t="inlineStr">
        <is>
          <t>2021NE0000938</t>
        </is>
      </c>
      <c r="B50" t="inlineStr"/>
      <c r="C50" t="inlineStr">
        <is>
          <t>29/03/2021</t>
        </is>
      </c>
      <c r="D50" t="n">
        <v>281933.72</v>
      </c>
      <c r="E50" t="inlineStr">
        <is>
          <t>Ativo</t>
        </is>
      </c>
      <c r="F50">
        <f>DESPESA SEM COBERTURA CONTRATUAL; =PRESTAÇÃO DE SERVIÇOS DE FIREWALL, ACESSO À REDE MUNDIAL, FORNECIMENTO DE CIRCUITO DE TRANSMISSÃO DE DADOS; =69 UNIDADES DE SAÚDE, CEMA, PRÉDIO DO COMPLEXO REGULADO</f>
        <v/>
      </c>
    </row>
    <row r="51">
      <c r="A51" t="inlineStr">
        <is>
          <t>2024NE0000860</t>
        </is>
      </c>
      <c r="B51" t="inlineStr">
        <is>
          <t>5/2021</t>
        </is>
      </c>
      <c r="C51" t="inlineStr">
        <is>
          <t>29/02/2024</t>
        </is>
      </c>
      <c r="D51" t="n">
        <v>36112.42</v>
      </c>
      <c r="E51" t="inlineStr">
        <is>
          <t>Ativo</t>
        </is>
      </c>
      <c r="F51">
        <f>SEGUNDO TERMO ADITIVO AO CONTRATO 005/2021;=VIGÊNCIA: 08/02/2023 A 07/02/2024; =SERVIÇO DE HOSPEDAGEM DE SERVIDORES EM AMBIENTE DE MAQUINAS VIRTUAIS EM NUVEM, A FIM DE ATENDER AS NECESSIDADES DE AMPL</f>
        <v/>
      </c>
    </row>
    <row r="52">
      <c r="A52" t="inlineStr">
        <is>
          <t>2018NE05951</t>
        </is>
      </c>
      <c r="B52" t="inlineStr"/>
      <c r="C52" t="inlineStr">
        <is>
          <t>28/12/2018</t>
        </is>
      </c>
      <c r="D52" t="n">
        <v>191268.1</v>
      </c>
      <c r="E52" t="inlineStr">
        <is>
          <t>Ativo</t>
        </is>
      </c>
      <c r="F52" t="inlineStr">
        <is>
          <t>ANULAÇÃO DO SALDO DE EMPENHO, PARA AJUSTE ORÇAMENTARIO E EM CUMPRIMENTO AO ART. 42 DA LRF.</t>
        </is>
      </c>
    </row>
    <row r="53">
      <c r="A53" t="inlineStr">
        <is>
          <t>2018NE05953</t>
        </is>
      </c>
      <c r="B53" t="inlineStr"/>
      <c r="C53" t="inlineStr">
        <is>
          <t>28/12/2018</t>
        </is>
      </c>
      <c r="D53" t="n">
        <v>33572.35</v>
      </c>
      <c r="E53" t="inlineStr">
        <is>
          <t>Ativo</t>
        </is>
      </c>
      <c r="F53">
        <f>ANULAÇÃO DO SALDO, PARA AJUSTE ORÇAMENTÁRIO E EM CUMPRIMENTO AO ART 42 DA LRF.</f>
        <v/>
      </c>
    </row>
    <row r="54">
      <c r="A54" t="inlineStr">
        <is>
          <t>2018NE06283</t>
        </is>
      </c>
      <c r="B54" t="inlineStr"/>
      <c r="C54" t="inlineStr">
        <is>
          <t>28/12/2018</t>
        </is>
      </c>
      <c r="D54" t="n">
        <v>17600</v>
      </c>
      <c r="E54" t="inlineStr">
        <is>
          <t>Ativo</t>
        </is>
      </c>
      <c r="F54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5">
      <c r="A55" t="inlineStr">
        <is>
          <t>2018NE05950</t>
        </is>
      </c>
      <c r="B55" t="inlineStr"/>
      <c r="C55" t="inlineStr">
        <is>
          <t>28/12/2018</t>
        </is>
      </c>
      <c r="D55" t="n">
        <v>1049.88</v>
      </c>
      <c r="E55" t="inlineStr">
        <is>
          <t>Ativo</t>
        </is>
      </c>
      <c r="F55">
        <f>ANULAÇÃO DO SALDO, PARA AJUSTE ORÇAMENTÁRIO E EM CUMPRIMENTO AO ART 42 DA LRF.</f>
        <v/>
      </c>
    </row>
    <row r="56">
      <c r="A56" t="inlineStr">
        <is>
          <t>2018NE05988</t>
        </is>
      </c>
      <c r="B56" t="inlineStr"/>
      <c r="C56" t="inlineStr">
        <is>
          <t>28/12/2018</t>
        </is>
      </c>
      <c r="D56" t="n">
        <v>34621.28</v>
      </c>
      <c r="E56" t="inlineStr">
        <is>
          <t>Ativo</t>
        </is>
      </c>
      <c r="F56">
        <f>ANULAÇÃO DO SALDO, PARA AJUSTE ORÇAMENTÁRIO E EM CUMPRIMENTO AO ART. 42 DA LRF.</f>
        <v/>
      </c>
    </row>
    <row r="57">
      <c r="A57" t="inlineStr">
        <is>
          <t>2017NE04057</t>
        </is>
      </c>
      <c r="B57" t="inlineStr"/>
      <c r="C57" t="inlineStr">
        <is>
          <t>28/12/2017</t>
        </is>
      </c>
      <c r="D57" t="n">
        <v>254621.91</v>
      </c>
      <c r="E57" t="inlineStr">
        <is>
          <t>Ativo</t>
        </is>
      </c>
      <c r="F57">
        <f>ANULAÇÃO TOTAL; =AJUSTE ORÇAMENTÁRIO (FONTE)</f>
        <v/>
      </c>
    </row>
    <row r="58">
      <c r="A58" t="inlineStr">
        <is>
          <t>2016NE03497</t>
        </is>
      </c>
      <c r="B58" t="inlineStr"/>
      <c r="C58" t="inlineStr">
        <is>
          <t>28/12/2016</t>
        </is>
      </c>
      <c r="D58" t="n">
        <v>4599.03</v>
      </c>
      <c r="E58" t="inlineStr">
        <is>
          <t>Ativo</t>
        </is>
      </c>
      <c r="F58">
        <f>ANULAÇÃO TOTAL DA NOTA DE EMPENHO =MOTIVO:ENCERRAMENTO DO EXERCICIO</f>
        <v/>
      </c>
    </row>
    <row r="59">
      <c r="A59" t="inlineStr">
        <is>
          <t>2016NE03494</t>
        </is>
      </c>
      <c r="B59" t="inlineStr"/>
      <c r="C59" t="inlineStr">
        <is>
          <t>28/12/2016</t>
        </is>
      </c>
      <c r="D59" t="n">
        <v>11873.5</v>
      </c>
      <c r="E59" t="inlineStr">
        <is>
          <t>Ativo</t>
        </is>
      </c>
      <c r="F59">
        <f>ANULAÇÃO TOTAL DA NOTA DE EMPENHO =MOTIVO:ENCERRAMENTO DO EXERCICIO</f>
        <v/>
      </c>
    </row>
    <row r="60">
      <c r="A60" t="inlineStr">
        <is>
          <t>2025NE0007413</t>
        </is>
      </c>
      <c r="B60" t="inlineStr">
        <is>
          <t>21/2021</t>
        </is>
      </c>
      <c r="C60" t="inlineStr">
        <is>
          <t>28/11/2025</t>
        </is>
      </c>
      <c r="D60" t="n">
        <v>304085.45</v>
      </c>
      <c r="E60" t="inlineStr">
        <is>
          <t>Ativo</t>
        </is>
      </c>
      <c r="F60">
        <f>SEGUNDO TERMO ADITIVO AO CONTRATO 021/2021;=VIGÊNCIA: 12/08/2023 A 11/08/2024;=FORNECIMENTO DE CIRCUITO DE TRANSMISSÃO DE DADOS COM LINK PONTO A PONTO, ACESSO GERENCIADO À REDE MUNDIAL, SERVIÇO DE MA</f>
        <v/>
      </c>
    </row>
    <row r="61">
      <c r="A61" t="inlineStr">
        <is>
          <t>2025NE0007414</t>
        </is>
      </c>
      <c r="B61" t="inlineStr">
        <is>
          <t>5/2021</t>
        </is>
      </c>
      <c r="C61" t="inlineStr">
        <is>
          <t>28/11/2025</t>
        </is>
      </c>
      <c r="D61" t="n">
        <v>34245.6</v>
      </c>
      <c r="E61" t="inlineStr">
        <is>
          <t>Ativo</t>
        </is>
      </c>
      <c r="F61">
        <f> TERMO ADITIVO AO CONTRATO 005/2021;=VIGÊNCIA: 08/02/2021 A 07/02/2022;=SERVIÇOS DE HOSPEDAGEM DE SERVIDORES EM AMBIENTE DE MÁQUINAS VIRTUAIS EM NUVEM;=SES/AM; =PERÍODO: DEZEMBRO /2021</f>
        <v/>
      </c>
    </row>
    <row r="62">
      <c r="A62" t="inlineStr">
        <is>
          <t>2022NE0005298</t>
        </is>
      </c>
      <c r="B62" t="inlineStr"/>
      <c r="C62" t="inlineStr">
        <is>
          <t>28/11/2022</t>
        </is>
      </c>
      <c r="D62" t="n">
        <v>282357.31</v>
      </c>
      <c r="E62" t="inlineStr">
        <is>
          <t>Ativo</t>
        </is>
      </c>
      <c r="F62" t="inlineStr">
        <is>
          <t>ANULAÇÃO PARCIAL DA NOTA DE EMPENHO MOTIVO: SALDO DE EMPENHO</t>
        </is>
      </c>
    </row>
    <row r="63">
      <c r="A63" t="inlineStr">
        <is>
          <t>2022NE0005296</t>
        </is>
      </c>
      <c r="B63" t="inlineStr"/>
      <c r="C63" t="inlineStr">
        <is>
          <t>28/11/2022</t>
        </is>
      </c>
      <c r="D63" t="n">
        <v>129819.09</v>
      </c>
      <c r="E63" t="inlineStr">
        <is>
          <t>Ativo</t>
        </is>
      </c>
      <c r="F63" t="inlineStr">
        <is>
          <t>ANULAÇÃO PARCIAL DA NOTA DE EMPENHO MOTIVO: SALDO DE EMPENHO</t>
        </is>
      </c>
    </row>
    <row r="64">
      <c r="A64" t="inlineStr">
        <is>
          <t>2022NE0005297</t>
        </is>
      </c>
      <c r="B64" t="inlineStr"/>
      <c r="C64" t="inlineStr">
        <is>
          <t>28/11/2022</t>
        </is>
      </c>
      <c r="D64" t="n">
        <v>131397.32</v>
      </c>
      <c r="E64" t="inlineStr">
        <is>
          <t>Ativo</t>
        </is>
      </c>
      <c r="F64" t="inlineStr">
        <is>
          <t>ANULAÇÃO PARCIAL DA NOTA DE EMPENHO MOTIVO: SALDO DE EMPENHO</t>
        </is>
      </c>
    </row>
    <row r="65">
      <c r="A65" t="inlineStr">
        <is>
          <t>2020NE03276</t>
        </is>
      </c>
      <c r="B65" t="inlineStr"/>
      <c r="C65" t="inlineStr">
        <is>
          <t>28/10/2020</t>
        </is>
      </c>
      <c r="D65" t="n">
        <v>281933.72</v>
      </c>
      <c r="E65" t="inlineStr">
        <is>
          <t>Ativo</t>
        </is>
      </c>
      <c r="F65">
        <f>DESPESA SEM COBERTURA CONTRATUAL; =RI: 2020RI00448; =SERVIÇOS DE FIREWALL, ACESSO GERENCIADO À REDE MUNDIAL E FORNECIMENTO DE CIRCUITO DE TRANSMISSÃO DE DADOS; =SECRETARIA DE SAÚDE E DEMAIS UNIDADES;</f>
        <v/>
      </c>
    </row>
    <row r="66">
      <c r="A66" t="inlineStr">
        <is>
          <t>2023NE0004065</t>
        </is>
      </c>
      <c r="B66" t="inlineStr">
        <is>
          <t>5/2021</t>
        </is>
      </c>
      <c r="C66" t="inlineStr">
        <is>
          <t>28/09/2023</t>
        </is>
      </c>
      <c r="D66" t="n">
        <v>36112.42</v>
      </c>
      <c r="E66" t="inlineStr">
        <is>
          <t>Ativo</t>
        </is>
      </c>
      <c r="F66" t="inlineStr">
        <is>
          <t>Contratação da prestação de serviço de hospedagem de servidores em ambiente de máquinas virtuais em nuvem, a fim de atender às necessidades de Tecnologia da Informação da Secretaria de Saúde. TC: 005/</t>
        </is>
      </c>
    </row>
    <row r="67">
      <c r="A67" t="inlineStr">
        <is>
          <t>2023NE0004064</t>
        </is>
      </c>
      <c r="B67" t="inlineStr">
        <is>
          <t>54/2018</t>
        </is>
      </c>
      <c r="C67" t="inlineStr">
        <is>
          <t>28/09/2023</t>
        </is>
      </c>
      <c r="D67" t="n">
        <v>146012.35</v>
      </c>
      <c r="E67" t="inlineStr">
        <is>
          <t>Ativo</t>
        </is>
      </c>
      <c r="F67" t="inlineStr">
        <is>
          <t>Prestação de Serviços PRODAM-RH visando manter o cadastro servidores e folha de pagamento de pessoal, processar folha de pagamento e fornecer relatórios para efetivação de pagamento TC: 054/2018 AD: 0</t>
        </is>
      </c>
    </row>
    <row r="68">
      <c r="A68" t="inlineStr">
        <is>
          <t>2023NE0004067</t>
        </is>
      </c>
      <c r="B68" t="inlineStr">
        <is>
          <t>18/2021</t>
        </is>
      </c>
      <c r="C68" t="inlineStr">
        <is>
          <t>28/09/2023</t>
        </is>
      </c>
      <c r="D68" t="n">
        <v>663281.42</v>
      </c>
      <c r="E68" t="inlineStr">
        <is>
          <t>Ativo</t>
        </is>
      </c>
      <c r="F68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69">
      <c r="A69" t="inlineStr">
        <is>
          <t>2023NE0004066</t>
        </is>
      </c>
      <c r="B69" t="inlineStr">
        <is>
          <t>21/2021</t>
        </is>
      </c>
      <c r="C69" t="inlineStr">
        <is>
          <t>28/09/2023</t>
        </is>
      </c>
      <c r="D69" t="n">
        <v>325367.97</v>
      </c>
      <c r="E69" t="inlineStr">
        <is>
          <t>Ativo</t>
        </is>
      </c>
      <c r="F69" t="inlineStr">
        <is>
          <t>serviços de fornecimento de circuito de transmissão de dados com link ponto a ponto entre as unidades da SES-AM TC: 021/2021 AD: 01.</t>
        </is>
      </c>
    </row>
    <row r="70">
      <c r="A70" t="inlineStr">
        <is>
          <t>2021NE0003377</t>
        </is>
      </c>
      <c r="B70" t="inlineStr">
        <is>
          <t>18/2021</t>
        </is>
      </c>
      <c r="C70" t="inlineStr">
        <is>
          <t>28/09/2021</t>
        </is>
      </c>
      <c r="D70" t="n">
        <v>567989.8100000001</v>
      </c>
      <c r="E70" t="inlineStr">
        <is>
          <t>Ativo</t>
        </is>
      </c>
      <c r="F70">
        <f>REFORÇO DA NE 2058/21 REFERENTE AO TERMO DE CONTRATO Nº 018/2021 =MÊS: SETEMBRO/2021</f>
        <v/>
      </c>
    </row>
    <row r="71">
      <c r="A71" t="inlineStr">
        <is>
          <t>2020NE02887</t>
        </is>
      </c>
      <c r="B71" t="inlineStr"/>
      <c r="C71" t="inlineStr">
        <is>
          <t>28/09/2020</t>
        </is>
      </c>
      <c r="D71" t="n">
        <v>281933.72</v>
      </c>
      <c r="E71" t="inlineStr">
        <is>
          <t>Ativo</t>
        </is>
      </c>
      <c r="F71">
        <f>DESPESA SEM COBERTURA CONTRATUAL; =RI: 2020RI00362; =SERVIÇO DE FIREWALL, TRANSMISSÃO DE DADOS, ACESSO GERENCIADO A REDE MUNDIAL; =ICAM, PSC Z OESTE E SUL, REGULAÇÃO, HPS 28 DE AGOSTO, POLI CODAJÁS, </f>
        <v/>
      </c>
    </row>
    <row r="72">
      <c r="A72" t="inlineStr">
        <is>
          <t>2023NE0003261</t>
        </is>
      </c>
      <c r="B72" t="inlineStr"/>
      <c r="C72" t="inlineStr">
        <is>
          <t>28/08/2023</t>
        </is>
      </c>
      <c r="D72" t="n">
        <v>146012.35</v>
      </c>
      <c r="E72" t="inlineStr">
        <is>
          <t>Ativo</t>
        </is>
      </c>
      <c r="F72" t="inlineStr">
        <is>
          <t>ANULAÇÃO TOTAL DA NOTA DE EMPENHO MOTIVO: COMPENTENCIA INCORRETA</t>
        </is>
      </c>
    </row>
    <row r="73">
      <c r="A73" t="inlineStr">
        <is>
          <t>2022NE0001169</t>
        </is>
      </c>
      <c r="B73" t="inlineStr">
        <is>
          <t>18/2021</t>
        </is>
      </c>
      <c r="C73" t="inlineStr">
        <is>
          <t>28/04/2022</t>
        </is>
      </c>
      <c r="D73" t="n">
        <v>567989.8100000001</v>
      </c>
      <c r="E73" t="inlineStr">
        <is>
          <t>Ativo</t>
        </is>
      </c>
      <c r="F73" t="inlineStr">
        <is>
          <t>Contratação de pessoa jurídica especializada em serviços de desenvolvimento de sistemas de informação, serviço de acesso, consultoria/assessoria e produção de repositórios e armazéns de dados (DataWar</t>
        </is>
      </c>
    </row>
    <row r="74">
      <c r="A74" t="inlineStr">
        <is>
          <t>2022NE0001176</t>
        </is>
      </c>
      <c r="B74" t="inlineStr">
        <is>
          <t>5/2021</t>
        </is>
      </c>
      <c r="C74" t="inlineStr">
        <is>
          <t>28/04/2022</t>
        </is>
      </c>
      <c r="D74" t="n">
        <v>34245.6</v>
      </c>
      <c r="E74" t="inlineStr">
        <is>
          <t>Ativo</t>
        </is>
      </c>
      <c r="F74" t="inlineStr">
        <is>
          <t>Contratação da prestação de serviço de hospedagem de servidores em ambiente de máquinas virtuais em nuvem, a fim de atender às necessidades de ampliação, atualização e padronização do ambiente de Tecn</t>
        </is>
      </c>
    </row>
    <row r="75">
      <c r="A75" t="inlineStr">
        <is>
          <t>2024NE0000850</t>
        </is>
      </c>
      <c r="B75" t="inlineStr">
        <is>
          <t>18/2021</t>
        </is>
      </c>
      <c r="C75" t="inlineStr">
        <is>
          <t>28/02/2024</t>
        </is>
      </c>
      <c r="D75" t="n">
        <v>620654.92</v>
      </c>
      <c r="E75" t="inlineStr">
        <is>
          <t>Ativo</t>
        </is>
      </c>
      <c r="F75">
        <f>SEGUNDO TERMO ADITIVO AO CONTRATO 018/2021;=VIGÊNCIA: 14/06/2023 A 13/06/2024; =SERVIÇOS DE DESENVOLVIMENTO DE DISTEMAS DE INFORMAÇÃO. DE ACESSO, CONSULTORIA/ASSESSORIA E PRODUÇÃO DE REPOSITORIOS E A</f>
        <v/>
      </c>
    </row>
    <row r="76">
      <c r="A76" t="inlineStr">
        <is>
          <t>2024NE0000849</t>
        </is>
      </c>
      <c r="B76" t="inlineStr">
        <is>
          <t>21/2021</t>
        </is>
      </c>
      <c r="C76" t="inlineStr">
        <is>
          <t>28/02/2024</t>
        </is>
      </c>
      <c r="D76" t="n">
        <v>111498</v>
      </c>
      <c r="E76" t="inlineStr">
        <is>
          <t>Ativo</t>
        </is>
      </c>
      <c r="F76">
        <f>SEGUNDO TERMO ADITIVO AO CONTRATO N. 021/2021;=VIGÊNCIA : 12/08/2023 A 11/08/2024; =FORNECIMENTO DE CIRCUITO DE TRANSMISSÃO DE DADOS COM LINK PONTO A PONTO, ACESSO GERENCIADO À REDE MUNDIAL, SERVIÇO </f>
        <v/>
      </c>
    </row>
    <row r="77">
      <c r="A77" t="inlineStr">
        <is>
          <t>2024NE0000851</t>
        </is>
      </c>
      <c r="B77" t="inlineStr">
        <is>
          <t>5/2021</t>
        </is>
      </c>
      <c r="C77" t="inlineStr">
        <is>
          <t>28/02/2024</t>
        </is>
      </c>
      <c r="D77" t="n">
        <v>36112.42</v>
      </c>
      <c r="E77" t="inlineStr">
        <is>
          <t>Ativo</t>
        </is>
      </c>
      <c r="F77">
        <f>SEGUNDO TERMO ADITIVO AO CONTRATO 05/2021;=VIGÊNCIA: 08/02/2023 A 07/02/2024; =SERVIÇOS DE HOSPEDAGEM DE SERVIDORES EM AMBIENTES DE MÁQUNAS ESPECIALIZADAS VIRTUAIS EM NUVEM, AFIM DE ATENDER AS NECESS</f>
        <v/>
      </c>
    </row>
    <row r="78">
      <c r="A78" t="inlineStr">
        <is>
          <t>2024NE0000853</t>
        </is>
      </c>
      <c r="B78" t="inlineStr">
        <is>
          <t>21/2021</t>
        </is>
      </c>
      <c r="C78" t="inlineStr">
        <is>
          <t>28/02/2024</t>
        </is>
      </c>
      <c r="D78" t="n">
        <v>304085.45</v>
      </c>
      <c r="E78" t="inlineStr">
        <is>
          <t>Ativo</t>
        </is>
      </c>
      <c r="F78">
        <f>SEGUNDO TERMO ADITIVO AO CONTRATO N. 021/2021;=VIGÊNCIA : 12/08/2023 A 11/08/2024; =FORNECIMENTO DE CIRCUITO DE TRANSMISSÃO DE DADOS COM LINK PONTO A PONTO, ACESSO GERENCIADO À REDE MUNDIAL, SERVIÇO </f>
        <v/>
      </c>
    </row>
    <row r="79">
      <c r="A79" t="inlineStr">
        <is>
          <t>2023NE0000688</t>
        </is>
      </c>
      <c r="B79" t="inlineStr">
        <is>
          <t>54/2018</t>
        </is>
      </c>
      <c r="C79" t="inlineStr">
        <is>
          <t>28/02/2023</t>
        </is>
      </c>
      <c r="D79" t="n">
        <v>146012.35</v>
      </c>
      <c r="E79" t="inlineStr">
        <is>
          <t>Ativo</t>
        </is>
      </c>
      <c r="F79">
        <f>CONTRATO Nº 54/2018</f>
        <v/>
      </c>
    </row>
    <row r="80">
      <c r="A80" t="inlineStr">
        <is>
          <t>2023NE0000706</t>
        </is>
      </c>
      <c r="B80" t="inlineStr">
        <is>
          <t>5/2021</t>
        </is>
      </c>
      <c r="C80" t="inlineStr">
        <is>
          <t>28/02/2023</t>
        </is>
      </c>
      <c r="D80" t="n">
        <v>34868.98</v>
      </c>
      <c r="E80" t="inlineStr">
        <is>
          <t>Ativo</t>
        </is>
      </c>
      <c r="F80">
        <f>REFORÇO DA NE 531/23 AO SEGUNDO TERMO ADITIVO AO CONTRATO 005/21 =MES: FEVEREIRO/2023</f>
        <v/>
      </c>
    </row>
    <row r="81">
      <c r="A81" t="inlineStr">
        <is>
          <t>2023NE0000705</t>
        </is>
      </c>
      <c r="B81" t="inlineStr">
        <is>
          <t>21/2021</t>
        </is>
      </c>
      <c r="C81" t="inlineStr">
        <is>
          <t>28/02/2023</t>
        </is>
      </c>
      <c r="D81" t="n">
        <v>325367.97</v>
      </c>
      <c r="E81" t="inlineStr">
        <is>
          <t>Ativo</t>
        </is>
      </c>
      <c r="F81">
        <f>REFORCO DA 301/2023 AO PRIMEIRO TERMO DE CONTRATO DE PRESTAÇÃO DE SERVIÇOS DE INFORMÁTICA Nº 021/2021 SES-AM;</f>
        <v/>
      </c>
    </row>
    <row r="82">
      <c r="A82" t="inlineStr">
        <is>
          <t>2022NE0000240</t>
        </is>
      </c>
      <c r="B82" t="inlineStr">
        <is>
          <t>5/2021</t>
        </is>
      </c>
      <c r="C82" t="inlineStr">
        <is>
          <t>28/01/2022</t>
        </is>
      </c>
      <c r="D82" t="n">
        <v>34245.6</v>
      </c>
      <c r="E82" t="inlineStr">
        <is>
          <t>Ativo</t>
        </is>
      </c>
      <c r="F82" t="inlineStr">
        <is>
          <t>Contratação da prestação de serviço de hospedagem de servidores em ambiente de máquinas virtuais em nuvem, a fim de atender às necessidades de ampliação, atualização e padronização do ambiente de Tecn</t>
        </is>
      </c>
    </row>
    <row r="83">
      <c r="A83" t="inlineStr">
        <is>
          <t>2020NE04076</t>
        </is>
      </c>
      <c r="B83" t="inlineStr"/>
      <c r="C83" t="inlineStr">
        <is>
          <t>27/11/2020</t>
        </is>
      </c>
      <c r="D83" t="n">
        <v>281933.72</v>
      </c>
      <c r="E83" t="inlineStr">
        <is>
          <t>Ativo</t>
        </is>
      </c>
      <c r="F83">
        <f>SEM COBERTURA CONTRATUAL; =RI: 2020RI00517 =SERVIÇOS DE FIREWALL, ACESSO GERENCIADO À REDE MUNDIAL, FORNECIMENTO DE CIRCUITO DE TRANSMISSÃO DE DADOS; =SEDE SES-AM E DEMAIS UNIDADES DE SAÚDE; =PERÍODO</f>
        <v/>
      </c>
    </row>
    <row r="84">
      <c r="A84" t="inlineStr">
        <is>
          <t>2022NE0004010</t>
        </is>
      </c>
      <c r="B84" t="inlineStr">
        <is>
          <t>18/2021</t>
        </is>
      </c>
      <c r="C84" t="inlineStr">
        <is>
          <t>27/09/2022</t>
        </is>
      </c>
      <c r="D84" t="n">
        <v>129819.09</v>
      </c>
      <c r="E84" t="inlineStr">
        <is>
          <t>Ativo</t>
        </is>
      </c>
      <c r="F84" t="inlineStr">
        <is>
          <t>REFORÇO DA NOTA DE EMPENHO Nº 123/2022</t>
        </is>
      </c>
    </row>
    <row r="85">
      <c r="A85" t="inlineStr">
        <is>
          <t>2022NE0004011</t>
        </is>
      </c>
      <c r="B85" t="inlineStr">
        <is>
          <t>18/2021</t>
        </is>
      </c>
      <c r="C85" t="inlineStr">
        <is>
          <t>27/09/2022</t>
        </is>
      </c>
      <c r="D85" t="n">
        <v>57050.28</v>
      </c>
      <c r="E85" t="inlineStr">
        <is>
          <t>Ativo</t>
        </is>
      </c>
      <c r="F85" t="inlineStr">
        <is>
          <t>REFORÇO DA NOTA DE EMPENHO Nº 1169/2022</t>
        </is>
      </c>
    </row>
    <row r="86">
      <c r="A86" t="inlineStr">
        <is>
          <t>2022NE0001673</t>
        </is>
      </c>
      <c r="B86" t="inlineStr">
        <is>
          <t>54/2018</t>
        </is>
      </c>
      <c r="C86" t="inlineStr">
        <is>
          <t>27/05/2022</t>
        </is>
      </c>
      <c r="D86" t="n">
        <v>131871.28</v>
      </c>
      <c r="E86" t="inlineStr">
        <is>
          <t>Ativo</t>
        </is>
      </c>
      <c r="F86">
        <f>REFORCO DA NE 0055/2022 AO TERCEIRO TERMO ADITIVO AO CONTRATO Nº 054/2018 - SES/AM;</f>
        <v/>
      </c>
    </row>
    <row r="87">
      <c r="A87" t="inlineStr">
        <is>
          <t>2022NE0001733</t>
        </is>
      </c>
      <c r="B87" t="inlineStr">
        <is>
          <t>21/2021</t>
        </is>
      </c>
      <c r="C87" t="inlineStr">
        <is>
          <t>27/05/2022</t>
        </is>
      </c>
      <c r="D87" t="n">
        <v>293907.41</v>
      </c>
      <c r="E87" t="inlineStr">
        <is>
          <t>Ativo</t>
        </is>
      </c>
      <c r="F87">
        <f>REFORCO DA NE 0127/2022 AO TERMO DE CONTRATO DE PRESTAÇÃO DE SERVIÇOS DE INFORMÁTICA Nº 021/2021 SES-AM;</f>
        <v/>
      </c>
    </row>
    <row r="88">
      <c r="A88" t="inlineStr">
        <is>
          <t>2022NE0001156</t>
        </is>
      </c>
      <c r="B88" t="inlineStr">
        <is>
          <t>21/2021</t>
        </is>
      </c>
      <c r="C88" t="inlineStr">
        <is>
          <t>27/04/2022</t>
        </is>
      </c>
      <c r="D88" t="n">
        <v>293907.41</v>
      </c>
      <c r="E88" t="inlineStr">
        <is>
          <t>Ativo</t>
        </is>
      </c>
      <c r="F88" t="inlineStr">
        <is>
          <t>Serviços de Fornecimento de Circuito de Transmissão de Dados com Link ponto a ponto entre as Unidades da SES-AM, SES-AM e a PRODAM, para acesso aos serviços contratados residentes no Data Center do Es</t>
        </is>
      </c>
    </row>
    <row r="89">
      <c r="A89" t="inlineStr">
        <is>
          <t>2020NE01004</t>
        </is>
      </c>
      <c r="B89" t="inlineStr">
        <is>
          <t>2/2015</t>
        </is>
      </c>
      <c r="C89" t="inlineStr">
        <is>
          <t>27/03/2020</t>
        </is>
      </c>
      <c r="D89" t="n">
        <v>90880.86</v>
      </c>
      <c r="E89" t="inlineStr">
        <is>
          <t>Ativo</t>
        </is>
      </c>
      <c r="F89">
        <f>RECONHECIMENTO DE DÍVIDA; =RD Nº 541/2020; =QUINTO TERMO ADITIVO AO CONTRATO Nº 002/15; =VIGÊNCIA: 05/01/2019 A 04/01/2020 =FORNECIMENTO DE TRANSMISSÃO DE DADOS, FIREWALL E INTERNET; =LOCAL: DIVERSAS</f>
        <v/>
      </c>
    </row>
    <row r="90">
      <c r="A90" t="inlineStr">
        <is>
          <t>2026NE0000839</t>
        </is>
      </c>
      <c r="B90" t="inlineStr">
        <is>
          <t>18/2024</t>
        </is>
      </c>
      <c r="C90" t="inlineStr">
        <is>
          <t>27/02/2026</t>
        </is>
      </c>
      <c r="D90" t="n">
        <v>146012.35</v>
      </c>
      <c r="E90" t="inlineStr">
        <is>
          <t>Ativo</t>
        </is>
      </c>
      <c r="F90" t="inlineStr">
        <is>
          <t>Contratação de pessoa jurídica especializada para prestação de serviços PRODAM-RH a fim de atender as necessidades da Secretaria de Estado de Saúde – SES/AM</t>
        </is>
      </c>
    </row>
    <row r="91">
      <c r="A91" t="inlineStr">
        <is>
          <t>2026NE0000830</t>
        </is>
      </c>
      <c r="B91" t="inlineStr">
        <is>
          <t>18/2021</t>
        </is>
      </c>
      <c r="C91" t="inlineStr">
        <is>
          <t>27/02/2026</t>
        </is>
      </c>
      <c r="D91" t="n">
        <v>532472.98</v>
      </c>
      <c r="E91" t="inlineStr">
        <is>
          <t>Ativo</t>
        </is>
      </c>
      <c r="F91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92">
      <c r="A92" t="inlineStr">
        <is>
          <t>2026NE0000826</t>
        </is>
      </c>
      <c r="B92" t="inlineStr">
        <is>
          <t>5/2021</t>
        </is>
      </c>
      <c r="C92" t="inlineStr">
        <is>
          <t>27/02/2026</t>
        </is>
      </c>
      <c r="D92" t="n">
        <v>36112.42</v>
      </c>
      <c r="E92" t="inlineStr">
        <is>
          <t>Ativo</t>
        </is>
      </c>
      <c r="F9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93">
      <c r="A93" t="inlineStr">
        <is>
          <t>2026NE0000838</t>
        </is>
      </c>
      <c r="B93" t="inlineStr">
        <is>
          <t>21/2021</t>
        </is>
      </c>
      <c r="C93" t="inlineStr">
        <is>
          <t>27/02/2026</t>
        </is>
      </c>
      <c r="D93" t="n">
        <v>289705.28</v>
      </c>
      <c r="E93" t="inlineStr">
        <is>
          <t>Ativo</t>
        </is>
      </c>
      <c r="F93" t="inlineStr">
        <is>
          <t>Contratação da prestação de serviços de fornecimento de circuito de transmissão de dados com link ponto a ponto entre as unidades da SES-AM TC: 0021/2021 AD: 05.</t>
        </is>
      </c>
    </row>
    <row r="94">
      <c r="A94" t="inlineStr">
        <is>
          <t>2026NE0000829</t>
        </is>
      </c>
      <c r="B94" t="inlineStr">
        <is>
          <t>18/2021</t>
        </is>
      </c>
      <c r="C94" t="inlineStr">
        <is>
          <t>27/02/2026</t>
        </is>
      </c>
      <c r="D94" t="n">
        <v>278783.02</v>
      </c>
      <c r="E94" t="inlineStr">
        <is>
          <t>Ativo</t>
        </is>
      </c>
      <c r="F94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95">
      <c r="A95" t="inlineStr">
        <is>
          <t>2026NE0000840</t>
        </is>
      </c>
      <c r="B95" t="inlineStr">
        <is>
          <t>18/2024</t>
        </is>
      </c>
      <c r="C95" t="inlineStr">
        <is>
          <t>27/02/2026</t>
        </is>
      </c>
      <c r="D95" t="n">
        <v>146012.35</v>
      </c>
      <c r="E95" t="inlineStr">
        <is>
          <t>Ativo</t>
        </is>
      </c>
      <c r="F95" t="inlineStr">
        <is>
          <t>Contratação de pessoa jurídica especializada para prestação de serviços PRODAM-RH a fim de atender as necessidades da Secretaria de Estado de Saúde – SES/AM</t>
        </is>
      </c>
    </row>
    <row r="96">
      <c r="A96" t="inlineStr">
        <is>
          <t>2026NE0000841</t>
        </is>
      </c>
      <c r="B96" t="inlineStr">
        <is>
          <t>18/2024</t>
        </is>
      </c>
      <c r="C96" t="inlineStr">
        <is>
          <t>27/02/2026</t>
        </is>
      </c>
      <c r="D96" t="n">
        <v>146012.35</v>
      </c>
      <c r="E96" t="inlineStr">
        <is>
          <t>Ativo</t>
        </is>
      </c>
      <c r="F96" t="inlineStr">
        <is>
          <t>Contratação de pessoa jurídica especializada para prestação de serviços PRODAM-RH a fim de atender as necessidades da Secretaria de Estado de Saúde – SES/AM</t>
        </is>
      </c>
    </row>
    <row r="97">
      <c r="A97" t="inlineStr">
        <is>
          <t>2026NE0000837</t>
        </is>
      </c>
      <c r="B97" t="inlineStr">
        <is>
          <t>18/2021</t>
        </is>
      </c>
      <c r="C97" t="inlineStr">
        <is>
          <t>27/02/2026</t>
        </is>
      </c>
      <c r="D97" t="n">
        <v>259366.87</v>
      </c>
      <c r="E97" t="inlineStr">
        <is>
          <t>Ativo</t>
        </is>
      </c>
      <c r="F97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98">
      <c r="A98" t="inlineStr">
        <is>
          <t>2026NE0000827</t>
        </is>
      </c>
      <c r="B98" t="inlineStr">
        <is>
          <t>5/2021</t>
        </is>
      </c>
      <c r="C98" t="inlineStr">
        <is>
          <t>27/02/2026</t>
        </is>
      </c>
      <c r="D98" t="n">
        <v>36112.42</v>
      </c>
      <c r="E98" t="inlineStr">
        <is>
          <t>Ativo</t>
        </is>
      </c>
      <c r="F98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99">
      <c r="A99" t="inlineStr">
        <is>
          <t>2026NE0000843</t>
        </is>
      </c>
      <c r="B99" t="inlineStr">
        <is>
          <t>18/2024</t>
        </is>
      </c>
      <c r="C99" t="inlineStr">
        <is>
          <t>27/02/2026</t>
        </is>
      </c>
      <c r="D99" t="n">
        <v>146012.35</v>
      </c>
      <c r="E99" t="inlineStr">
        <is>
          <t>Ativo</t>
        </is>
      </c>
      <c r="F99" t="inlineStr">
        <is>
          <t>Contratação de pessoa jurídica especializada para prestação de serviços PRODAM-RH a fim de atender as necessidades da Secretaria de Estado de Saúde – SES/AM</t>
        </is>
      </c>
    </row>
    <row r="100">
      <c r="A100" t="inlineStr">
        <is>
          <t>2026NE0000845</t>
        </is>
      </c>
      <c r="B100" t="inlineStr">
        <is>
          <t>18/2024</t>
        </is>
      </c>
      <c r="C100" t="inlineStr">
        <is>
          <t>27/02/2026</t>
        </is>
      </c>
      <c r="D100" t="n">
        <v>146012.35</v>
      </c>
      <c r="E100" t="inlineStr">
        <is>
          <t>Ativo</t>
        </is>
      </c>
      <c r="F100" t="inlineStr">
        <is>
          <t>Contratação de pessoa jurídica especializada para prestação de serviços PRODAM-RH a fim de atender as necessidades da Secretaria de Estado de Saúde – SES/AM</t>
        </is>
      </c>
    </row>
    <row r="101">
      <c r="A101" t="inlineStr">
        <is>
          <t>2026NE0000842</t>
        </is>
      </c>
      <c r="B101" t="inlineStr">
        <is>
          <t>18/2024</t>
        </is>
      </c>
      <c r="C101" t="inlineStr">
        <is>
          <t>27/02/2026</t>
        </is>
      </c>
      <c r="D101" t="n">
        <v>146012.35</v>
      </c>
      <c r="E101" t="inlineStr">
        <is>
          <t>Ativo</t>
        </is>
      </c>
      <c r="F101" t="inlineStr">
        <is>
          <t>Contratação de pessoa jurídica especializada para prestação de serviços PRODAM-RH a fim de atender as necessidades da Secretaria de Estado de Saúde – SES/AM</t>
        </is>
      </c>
    </row>
    <row r="102">
      <c r="A102" t="inlineStr">
        <is>
          <t>2026NE0000828</t>
        </is>
      </c>
      <c r="B102" t="inlineStr">
        <is>
          <t>5/2021</t>
        </is>
      </c>
      <c r="C102" t="inlineStr">
        <is>
          <t>27/02/2026</t>
        </is>
      </c>
      <c r="D102" t="n">
        <v>36112.42</v>
      </c>
      <c r="E102" t="inlineStr">
        <is>
          <t>Ativo</t>
        </is>
      </c>
      <c r="F10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03">
      <c r="A103" t="inlineStr">
        <is>
          <t>2026NE0000849</t>
        </is>
      </c>
      <c r="B103" t="inlineStr">
        <is>
          <t>5/2021</t>
        </is>
      </c>
      <c r="C103" t="inlineStr">
        <is>
          <t>27/02/2026</t>
        </is>
      </c>
      <c r="D103" t="n">
        <v>36112.42</v>
      </c>
      <c r="E103" t="inlineStr">
        <is>
          <t>Ativo</t>
        </is>
      </c>
      <c r="F103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04">
      <c r="A104" t="inlineStr">
        <is>
          <t>2026NE0000852</t>
        </is>
      </c>
      <c r="B104" t="inlineStr">
        <is>
          <t>5/2021</t>
        </is>
      </c>
      <c r="C104" t="inlineStr">
        <is>
          <t>27/02/2026</t>
        </is>
      </c>
      <c r="D104" t="n">
        <v>36112.42</v>
      </c>
      <c r="E104" t="inlineStr">
        <is>
          <t>Ativo</t>
        </is>
      </c>
      <c r="F104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05">
      <c r="A105" t="inlineStr">
        <is>
          <t>2026NE0000850</t>
        </is>
      </c>
      <c r="B105" t="inlineStr"/>
      <c r="C105" t="inlineStr">
        <is>
          <t>27/02/2026</t>
        </is>
      </c>
      <c r="D105" t="n">
        <v>36112.42</v>
      </c>
      <c r="E105" t="inlineStr">
        <is>
          <t>Ativo</t>
        </is>
      </c>
      <c r="F105" t="inlineStr">
        <is>
          <t>ANULAÇÃO DE NE MOTIVO: NATUREZA INCORRETA</t>
        </is>
      </c>
    </row>
    <row r="106">
      <c r="A106" t="inlineStr">
        <is>
          <t>2022NE0004810</t>
        </is>
      </c>
      <c r="B106" t="inlineStr">
        <is>
          <t>54/2018</t>
        </is>
      </c>
      <c r="C106" t="inlineStr">
        <is>
          <t>26/10/2022</t>
        </is>
      </c>
      <c r="D106" t="n">
        <v>146012.35</v>
      </c>
      <c r="E106" t="inlineStr">
        <is>
          <t>Ativo</t>
        </is>
      </c>
      <c r="F106">
        <f>REFORÇO DA NE 2453/22 AO QUARTO TERMO ADITIVO DO CONTRATO 054/2018</f>
        <v/>
      </c>
    </row>
    <row r="107">
      <c r="A107" t="inlineStr">
        <is>
          <t>2022NE0003977</t>
        </is>
      </c>
      <c r="B107" t="inlineStr"/>
      <c r="C107" t="inlineStr">
        <is>
          <t>26/09/2022</t>
        </is>
      </c>
      <c r="D107" t="n">
        <v>129819.09</v>
      </c>
      <c r="E107" t="inlineStr">
        <is>
          <t>Ativo</t>
        </is>
      </c>
      <c r="F107">
        <f>ANULAÇÃO PARCIAL; =SALDO DE EMPENHO.</f>
        <v/>
      </c>
    </row>
    <row r="108">
      <c r="A108" t="inlineStr">
        <is>
          <t>2022NE0003974</t>
        </is>
      </c>
      <c r="B108" t="inlineStr"/>
      <c r="C108" t="inlineStr">
        <is>
          <t>26/09/2022</t>
        </is>
      </c>
      <c r="D108" t="n">
        <v>103090.37</v>
      </c>
      <c r="E108" t="inlineStr">
        <is>
          <t>Ativo</t>
        </is>
      </c>
      <c r="F108">
        <f>ANULAÇÃO PARCIAL; =SALDO DE EMPENHO.</f>
        <v/>
      </c>
    </row>
    <row r="109">
      <c r="A109" t="inlineStr">
        <is>
          <t>2025NE0003607</t>
        </is>
      </c>
      <c r="B109" t="inlineStr">
        <is>
          <t>18/2021</t>
        </is>
      </c>
      <c r="C109" t="inlineStr">
        <is>
          <t>26/06/2025</t>
        </is>
      </c>
      <c r="D109" t="n">
        <v>407446.52</v>
      </c>
      <c r="E109" t="inlineStr">
        <is>
          <t>Ativo</t>
        </is>
      </c>
      <c r="F109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10">
      <c r="A110" t="inlineStr">
        <is>
          <t>2025NE0003599</t>
        </is>
      </c>
      <c r="B110" t="inlineStr">
        <is>
          <t>18/2021</t>
        </is>
      </c>
      <c r="C110" t="inlineStr">
        <is>
          <t>26/06/2025</t>
        </is>
      </c>
      <c r="D110" t="n">
        <v>572439.16</v>
      </c>
      <c r="E110" t="inlineStr">
        <is>
          <t>Ativo</t>
        </is>
      </c>
      <c r="F110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11">
      <c r="A111" t="inlineStr">
        <is>
          <t>2025NE0003605</t>
        </is>
      </c>
      <c r="B111" t="inlineStr">
        <is>
          <t>18/2021</t>
        </is>
      </c>
      <c r="C111" t="inlineStr">
        <is>
          <t>26/06/2025</t>
        </is>
      </c>
      <c r="D111" t="n">
        <v>255638.19</v>
      </c>
      <c r="E111" t="inlineStr">
        <is>
          <t>Ativo</t>
        </is>
      </c>
      <c r="F111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12">
      <c r="A112" t="inlineStr">
        <is>
          <t>2025NE0002711</t>
        </is>
      </c>
      <c r="B112" t="inlineStr">
        <is>
          <t>5/2021</t>
        </is>
      </c>
      <c r="C112" t="inlineStr">
        <is>
          <t>26/05/2025</t>
        </is>
      </c>
      <c r="D112" t="n">
        <v>36112.42</v>
      </c>
      <c r="E112" t="inlineStr">
        <is>
          <t>Ativo</t>
        </is>
      </c>
      <c r="F11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13">
      <c r="A113" t="inlineStr">
        <is>
          <t>2025NE0002697</t>
        </is>
      </c>
      <c r="B113" t="inlineStr">
        <is>
          <t>21/2021</t>
        </is>
      </c>
      <c r="C113" t="inlineStr">
        <is>
          <t>26/05/2025</t>
        </is>
      </c>
      <c r="D113" t="n">
        <v>315103.97</v>
      </c>
      <c r="E113" t="inlineStr">
        <is>
          <t>Ativo</t>
        </is>
      </c>
      <c r="F113" t="inlineStr">
        <is>
          <t>Contratação da prestação de serviços de fornecimento de circuito de transmissão de dados com link ponto a ponto entre as unidades da SES-AM TC: 0021/2021 AD: 03.</t>
        </is>
      </c>
    </row>
    <row r="114">
      <c r="A114" t="inlineStr">
        <is>
          <t>2026NE0000812</t>
        </is>
      </c>
      <c r="B114" t="inlineStr">
        <is>
          <t>18/2021</t>
        </is>
      </c>
      <c r="C114" t="inlineStr">
        <is>
          <t>26/02/2026</t>
        </is>
      </c>
      <c r="D114" t="n">
        <v>277481.06</v>
      </c>
      <c r="E114" t="inlineStr">
        <is>
          <t>Ativo</t>
        </is>
      </c>
      <c r="F114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15">
      <c r="A115" t="inlineStr">
        <is>
          <t>2026NE0000813</t>
        </is>
      </c>
      <c r="B115" t="inlineStr">
        <is>
          <t>18/2024</t>
        </is>
      </c>
      <c r="C115" t="inlineStr">
        <is>
          <t>26/02/2026</t>
        </is>
      </c>
      <c r="D115" t="n">
        <v>146012.35</v>
      </c>
      <c r="E115" t="inlineStr">
        <is>
          <t>Ativo</t>
        </is>
      </c>
      <c r="F115" t="inlineStr">
        <is>
          <t>Contratação de pessoa jurídica especializada para prestação de serviços PRODAM-RH a fim de atender as necessidades da Secretaria de Estado de Saúde – SES/AM</t>
        </is>
      </c>
    </row>
    <row r="116">
      <c r="A116" t="inlineStr">
        <is>
          <t>2024NE0000810</t>
        </is>
      </c>
      <c r="B116" t="inlineStr">
        <is>
          <t>18/2021</t>
        </is>
      </c>
      <c r="C116" t="inlineStr">
        <is>
          <t>26/02/2024</t>
        </is>
      </c>
      <c r="D116" t="n">
        <v>593315.9</v>
      </c>
      <c r="E116" t="inlineStr">
        <is>
          <t>Ativo</t>
        </is>
      </c>
      <c r="F116">
        <f>SEGUNDO TERMO ADITIVO AO CONTRATO 018/2021;=VIGÊNCIA: 14/06/2023 A 13/06/2024; =PRESTAÇÃO DE SERVIÇOS DE CONSULTORIA EM ARMAZEM DE INFORMACOES, ASSESSORIA TECNICA EM INFORMATICA, MODELAGEM DE PROCESS</f>
        <v/>
      </c>
    </row>
    <row r="117">
      <c r="A117" t="inlineStr">
        <is>
          <t>2024NE0006088</t>
        </is>
      </c>
      <c r="B117" t="inlineStr">
        <is>
          <t>5/2021</t>
        </is>
      </c>
      <c r="C117" t="inlineStr">
        <is>
          <t>25/11/2024</t>
        </is>
      </c>
      <c r="D117" t="n">
        <v>36112.42</v>
      </c>
      <c r="E117" t="inlineStr">
        <is>
          <t>Ativo</t>
        </is>
      </c>
      <c r="F117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18">
      <c r="A118" t="inlineStr">
        <is>
          <t>2020NE04008</t>
        </is>
      </c>
      <c r="B118" t="inlineStr"/>
      <c r="C118" t="inlineStr">
        <is>
          <t>25/11/2020</t>
        </is>
      </c>
      <c r="D118" t="n">
        <v>131871.28</v>
      </c>
      <c r="E118" t="inlineStr">
        <is>
          <t>Ativo</t>
        </is>
      </c>
      <c r="F118">
        <f>CONTRATO Nº 054/2018</f>
        <v/>
      </c>
    </row>
    <row r="119">
      <c r="A119" t="inlineStr">
        <is>
          <t>2021NE0003744</t>
        </is>
      </c>
      <c r="B119" t="inlineStr"/>
      <c r="C119" t="inlineStr">
        <is>
          <t>25/10/2021</t>
        </is>
      </c>
      <c r="D119" t="n">
        <v>249812.65</v>
      </c>
      <c r="E119" t="inlineStr">
        <is>
          <t>Ativo</t>
        </is>
      </c>
      <c r="F119">
        <f>SEM COBERTURA CONTRATUAL; =ACESSO GERENCIADO A REDE MUNDIAL POR MBPS, ACESSO A METROMAO, FORNECIMENTO DE CIRCUITO DE TRANSMISSÃO DE DADOS E GESTÃO DE SEGURANÇA E ATIVOS DE REDE PACOTE ESSENCIAL. =RED</f>
        <v/>
      </c>
    </row>
    <row r="120">
      <c r="A120" t="inlineStr">
        <is>
          <t>2020NE02868</t>
        </is>
      </c>
      <c r="B120" t="inlineStr"/>
      <c r="C120" t="inlineStr">
        <is>
          <t>25/09/2020</t>
        </is>
      </c>
      <c r="D120" t="n">
        <v>281933.72</v>
      </c>
      <c r="E120" t="inlineStr">
        <is>
          <t>Ativo</t>
        </is>
      </c>
      <c r="F120">
        <f>SEM COBERTURA CONTRATUAL; =RI Nº 338/2020 =SERVIÇOS DE FIREWALL, TRANSMISSÃO DE DADOS, ACESSO À REDE MUNDIAL; =SES-AM SEDE E DEMAIS UNIDADES; =PERÍODO: 01 A 29/02/2020.</f>
        <v/>
      </c>
    </row>
    <row r="121">
      <c r="A121" t="inlineStr">
        <is>
          <t>2021NE0002851</t>
        </is>
      </c>
      <c r="B121" t="inlineStr">
        <is>
          <t>18/2021</t>
        </is>
      </c>
      <c r="C121" t="inlineStr">
        <is>
          <t>25/08/2021</t>
        </is>
      </c>
      <c r="D121" t="n">
        <v>567989.8100000001</v>
      </c>
      <c r="E121" t="inlineStr">
        <is>
          <t>Ativo</t>
        </is>
      </c>
      <c r="F121">
        <f>CONTRATO Nº 018/2021</f>
        <v/>
      </c>
    </row>
    <row r="122">
      <c r="A122" t="inlineStr">
        <is>
          <t>2021NE0002813</t>
        </is>
      </c>
      <c r="B122" t="inlineStr">
        <is>
          <t>5/2021</t>
        </is>
      </c>
      <c r="C122" t="inlineStr">
        <is>
          <t>25/08/2021</t>
        </is>
      </c>
      <c r="D122" t="n">
        <v>34245.6</v>
      </c>
      <c r="E122" t="inlineStr">
        <is>
          <t>Ativo</t>
        </is>
      </c>
      <c r="F122">
        <f>CONTRATO Nº 005/2021</f>
        <v/>
      </c>
    </row>
    <row r="123">
      <c r="A123" t="inlineStr">
        <is>
          <t>2022NE0002687</t>
        </is>
      </c>
      <c r="B123" t="inlineStr"/>
      <c r="C123" t="inlineStr">
        <is>
          <t>25/07/2022</t>
        </is>
      </c>
      <c r="D123" t="n">
        <v>359878.65</v>
      </c>
      <c r="E123" t="inlineStr">
        <is>
          <t>Ativo</t>
        </is>
      </c>
      <c r="F123" t="inlineStr">
        <is>
          <t>REFORÇO DA NOTA DE EMPENHO Nº 2259/2022</t>
        </is>
      </c>
    </row>
    <row r="124">
      <c r="A124" t="inlineStr">
        <is>
          <t>2022NE0002696</t>
        </is>
      </c>
      <c r="B124" t="inlineStr"/>
      <c r="C124" t="inlineStr">
        <is>
          <t>25/07/2022</t>
        </is>
      </c>
      <c r="D124" t="n">
        <v>293907.41</v>
      </c>
      <c r="E124" t="inlineStr">
        <is>
          <t>Ativo</t>
        </is>
      </c>
      <c r="F124">
        <f>REFORÇO DA NE 1156/22 AO TERMO DO CONTRATO Nº 021/2021 =MES: JUNHO/2022</f>
        <v/>
      </c>
    </row>
    <row r="125">
      <c r="A125" t="inlineStr">
        <is>
          <t>2022NE0002675</t>
        </is>
      </c>
      <c r="B125" t="inlineStr"/>
      <c r="C125" t="inlineStr">
        <is>
          <t>25/07/2022</t>
        </is>
      </c>
      <c r="D125" t="n">
        <v>34245.6</v>
      </c>
      <c r="E125" t="inlineStr">
        <is>
          <t>Ativo</t>
        </is>
      </c>
      <c r="F125" t="inlineStr">
        <is>
          <t>REFORÇO DA NOTA DE EMPENHO Nº 1176/2022</t>
        </is>
      </c>
    </row>
    <row r="126">
      <c r="A126" t="inlineStr">
        <is>
          <t>2022NE0002690</t>
        </is>
      </c>
      <c r="B126" t="inlineStr">
        <is>
          <t>18/2021</t>
        </is>
      </c>
      <c r="C126" t="inlineStr">
        <is>
          <t>25/07/2022</t>
        </is>
      </c>
      <c r="D126" t="n">
        <v>1050.12</v>
      </c>
      <c r="E126" t="inlineStr">
        <is>
          <t>Ativo</t>
        </is>
      </c>
      <c r="F126" t="inlineStr">
        <is>
          <t>restação de serviços de desenvolvimento de sistemas de informação, serviço de acesso, consultoria/assessoria e produção de repositórios e armazéns de dados (DataWarehouse) do Governo de Estado, e serv</t>
        </is>
      </c>
    </row>
    <row r="127">
      <c r="A127" t="inlineStr">
        <is>
          <t>2021NE0004272</t>
        </is>
      </c>
      <c r="B127" t="inlineStr">
        <is>
          <t>21/2021</t>
        </is>
      </c>
      <c r="C127" t="inlineStr">
        <is>
          <t>24/11/2021</t>
        </is>
      </c>
      <c r="D127" t="n">
        <v>249812.65</v>
      </c>
      <c r="E127" t="inlineStr">
        <is>
          <t>Ativo</t>
        </is>
      </c>
      <c r="F127">
        <f>SEM COBERTURA CONTRATUAL;=FORNECIMENTO E CIRCUITO DE TRANSMISSÃO DE DADOS, ACESSO GERENCIADO À REDE MUNDIAL, ACESSO À METROMAO, GESTÃO DE SEGURANÇA E ATIVOS DE REDE; =REDE SES-AM; =PERÍODO: 01 A 31/0</f>
        <v/>
      </c>
    </row>
    <row r="128">
      <c r="A128" t="inlineStr">
        <is>
          <t>2021NE0004276</t>
        </is>
      </c>
      <c r="B128" t="inlineStr">
        <is>
          <t>21/2021</t>
        </is>
      </c>
      <c r="C128" t="inlineStr">
        <is>
          <t>24/11/2021</t>
        </is>
      </c>
      <c r="D128" t="n">
        <v>249812.65</v>
      </c>
      <c r="E128" t="inlineStr">
        <is>
          <t>Ativo</t>
        </is>
      </c>
      <c r="F128">
        <f>SEM COBERTURA CONTRATUAL; =ACESSO GERENCIADO A REDE MUNDIAL POR MBPS, ACESSO A METROMAO, FORNECIMENTO DE CIRCUITO DE TRANSMISSÃO DE DADOS E GESTÃO DE SEGURANÇA E ATIVOS DE REDE PACOTE ESSENCIAL. =RED</f>
        <v/>
      </c>
    </row>
    <row r="129">
      <c r="A129" t="inlineStr">
        <is>
          <t>2020NE03941</t>
        </is>
      </c>
      <c r="B129" t="inlineStr"/>
      <c r="C129" t="inlineStr">
        <is>
          <t>24/11/2020</t>
        </is>
      </c>
      <c r="D129" t="n">
        <v>281933.72</v>
      </c>
      <c r="E129" t="inlineStr">
        <is>
          <t>Ativo</t>
        </is>
      </c>
      <c r="F129">
        <f>SEM COBERTURA CONTRATUAL; =2020RI00543 =SERVIÇOS DE FORNECIMENTO DE CIRCUITO, TRANSMISSÃO DE DADOS, SERVIÇOS DE FIREWALL E ACESSO À REDE MUNDIAL DE COMPUTADORES; =SEDE SES-AM E DEMAIS UNIDADES DA SEC</f>
        <v/>
      </c>
    </row>
    <row r="130">
      <c r="A130" t="inlineStr">
        <is>
          <t>2022NE0004798</t>
        </is>
      </c>
      <c r="B130" t="inlineStr">
        <is>
          <t>5/2021</t>
        </is>
      </c>
      <c r="C130" t="inlineStr">
        <is>
          <t>24/10/2022</t>
        </is>
      </c>
      <c r="D130" t="n">
        <v>34245.6</v>
      </c>
      <c r="E130" t="inlineStr">
        <is>
          <t>Ativo</t>
        </is>
      </c>
      <c r="F130">
        <f>REFORÇO DA NOTA DE EMPENHO Nº 240/2022 AO PRIMEIRO TERMO ADITIVO DO CONTRATO DE PRESTAÇÃO DE SERVIÇOS DE INFORMÁTICA Nº 005/2021 - SES-AM</f>
        <v/>
      </c>
    </row>
    <row r="131">
      <c r="A131" t="inlineStr">
        <is>
          <t>2025NE0005470</t>
        </is>
      </c>
      <c r="B131" t="inlineStr">
        <is>
          <t>21/2021</t>
        </is>
      </c>
      <c r="C131" t="inlineStr">
        <is>
          <t>24/09/2025</t>
        </is>
      </c>
      <c r="D131" t="n">
        <v>296701.3</v>
      </c>
      <c r="E131" t="inlineStr">
        <is>
          <t>Ativo</t>
        </is>
      </c>
      <c r="F131" t="inlineStr">
        <is>
          <t>Contratação da prestação de serviços de fornecimento de circuito de transmissão de dados com link ponto a ponto entre as unidades da SES-AM TC: 0021/2021 AD: 03.</t>
        </is>
      </c>
    </row>
    <row r="132">
      <c r="A132" t="inlineStr">
        <is>
          <t>2015NE03540</t>
        </is>
      </c>
      <c r="B132" t="inlineStr">
        <is>
          <t>81/2010</t>
        </is>
      </c>
      <c r="C132" t="inlineStr">
        <is>
          <t>24/09/2015</t>
        </is>
      </c>
      <c r="D132" t="n">
        <v>104884.8</v>
      </c>
      <c r="E132" t="inlineStr">
        <is>
          <t>Ativo</t>
        </is>
      </c>
      <c r="F132" t="inlineStr">
        <is>
          <t>Cobertura Financeira do 5º TA</t>
        </is>
      </c>
    </row>
    <row r="133">
      <c r="A133" t="inlineStr">
        <is>
          <t>2015NE03540</t>
        </is>
      </c>
      <c r="B133" t="inlineStr">
        <is>
          <t>81/2010</t>
        </is>
      </c>
      <c r="C133" t="inlineStr">
        <is>
          <t>24/09/2015</t>
        </is>
      </c>
      <c r="D133" t="n">
        <v>104884.8</v>
      </c>
      <c r="E133" t="inlineStr">
        <is>
          <t>Ativo</t>
        </is>
      </c>
      <c r="F133">
        <f>QUINTO TERMO ADITIVO AO CONTRATO 081/10</f>
        <v/>
      </c>
    </row>
    <row r="134">
      <c r="A134" t="inlineStr">
        <is>
          <t>2024NE0003988</t>
        </is>
      </c>
      <c r="B134" t="inlineStr">
        <is>
          <t>18/2024</t>
        </is>
      </c>
      <c r="C134" t="inlineStr">
        <is>
          <t>24/07/2024</t>
        </is>
      </c>
      <c r="D134" t="n">
        <v>46012.35</v>
      </c>
      <c r="E134" t="inlineStr">
        <is>
          <t>Ativo</t>
        </is>
      </c>
      <c r="F134" t="inlineStr">
        <is>
          <t>Contratação de pessoa jurídica especializada para prestação de serviços PRODAM-RH a fim de atender as necessidades da Secretaria de Estado de Saúde – SES/AM</t>
        </is>
      </c>
    </row>
    <row r="135">
      <c r="A135" t="inlineStr">
        <is>
          <t>2022NE0001590</t>
        </is>
      </c>
      <c r="B135" t="inlineStr">
        <is>
          <t>18/2021</t>
        </is>
      </c>
      <c r="C135" t="inlineStr">
        <is>
          <t>24/05/2022</t>
        </is>
      </c>
      <c r="D135" t="n">
        <v>567989.8100000001</v>
      </c>
      <c r="E135" t="inlineStr">
        <is>
          <t>Ativo</t>
        </is>
      </c>
      <c r="F135">
        <f>REFORÇO A NE 123/22 REF. AO TERMO DE CONTRATO DE PRESTAÇÃO DE SERVIÇOS DE INFORMÁTICA Nº 018/2021 SES-AM; =MÊS: MAIO/22</f>
        <v/>
      </c>
    </row>
    <row r="136">
      <c r="A136" t="inlineStr">
        <is>
          <t>2026NE0001211</t>
        </is>
      </c>
      <c r="B136" t="inlineStr">
        <is>
          <t>54/2018</t>
        </is>
      </c>
      <c r="C136" t="inlineStr">
        <is>
          <t>24/03/2026</t>
        </is>
      </c>
      <c r="D136" t="n">
        <v>112899.15</v>
      </c>
      <c r="E136" t="inlineStr">
        <is>
          <t>Ativo</t>
        </is>
      </c>
      <c r="F136">
        <f>SEM COBERTURA CONTRATUAL;=SERVIÇOS DE SISTEMA DE RECURSOS HUMANOS PARA FOLHA DE PAGAMENTO; =LOCAL: SES-AM; =PERIODO : FEVEREIRO 2017;</f>
        <v/>
      </c>
    </row>
    <row r="137">
      <c r="A137" t="inlineStr">
        <is>
          <t>2025NE0000571</t>
        </is>
      </c>
      <c r="B137" t="inlineStr">
        <is>
          <t>21/2021</t>
        </is>
      </c>
      <c r="C137" t="inlineStr">
        <is>
          <t>24/02/2025</t>
        </is>
      </c>
      <c r="D137" t="n">
        <v>267117.12</v>
      </c>
      <c r="E137" t="inlineStr">
        <is>
          <t>Ativo</t>
        </is>
      </c>
      <c r="F137" t="inlineStr">
        <is>
          <t>Contratação da prestação de serviços de fornecimento de circuito de transmissão de dados com link ponto a ponto entre as unidades da SES-AM TC: 0021/2021 AD: 03.</t>
        </is>
      </c>
    </row>
    <row r="138">
      <c r="A138" t="inlineStr">
        <is>
          <t>2021NE0004220</t>
        </is>
      </c>
      <c r="B138" t="inlineStr">
        <is>
          <t>5/2021</t>
        </is>
      </c>
      <c r="C138" t="inlineStr">
        <is>
          <t>23/11/2021</t>
        </is>
      </c>
      <c r="D138" t="n">
        <v>34245.6</v>
      </c>
      <c r="E138" t="inlineStr">
        <is>
          <t>Ativo</t>
        </is>
      </c>
      <c r="F138">
        <f>TERMO DE CONTRATO 005/2021; =SERVIÇOS EM SERVIDORES DE NUVEM; =LOCAL: REDE SUS/AM; =PERÍODO: NOVEMBRO/2021.</f>
        <v/>
      </c>
    </row>
    <row r="139">
      <c r="A139" t="inlineStr">
        <is>
          <t>2021NE0004183</t>
        </is>
      </c>
      <c r="B139" t="inlineStr">
        <is>
          <t>21/2021</t>
        </is>
      </c>
      <c r="C139" t="inlineStr">
        <is>
          <t>23/11/2021</t>
        </is>
      </c>
      <c r="D139" t="n">
        <v>293907.41</v>
      </c>
      <c r="E139" t="inlineStr">
        <is>
          <t>Ativo</t>
        </is>
      </c>
      <c r="F139">
        <f>TERMO DE CONTRATO 021/2021; =SERVIÇOS EM FORNECIMENTO DE CIRCUITO DE TRANSMISSÃO DE DADOS COM LINK; =LOCAL: SESAM SEDE; =PERÍODO: NOVEMBRO/2021.</f>
        <v/>
      </c>
    </row>
    <row r="140">
      <c r="A140" t="inlineStr">
        <is>
          <t>2021NE0004191</t>
        </is>
      </c>
      <c r="B140" t="inlineStr">
        <is>
          <t>18/2021</t>
        </is>
      </c>
      <c r="C140" t="inlineStr">
        <is>
          <t>23/11/2021</t>
        </is>
      </c>
      <c r="D140" t="n">
        <v>567989.8100000001</v>
      </c>
      <c r="E140" t="inlineStr">
        <is>
          <t>Ativo</t>
        </is>
      </c>
      <c r="F140">
        <f>TERMO DE CONTRATO 018/2021; =SERVIÇOS EM DESENVOLVIMENTO DE SISTEMAS DE INFORMAÇÃO; =LOCAL: REDE SUS-AM; =PERÍODO: NOVEMBRO/2021.</f>
        <v/>
      </c>
    </row>
    <row r="141">
      <c r="A141" t="inlineStr">
        <is>
          <t>2021NE0004069</t>
        </is>
      </c>
      <c r="B141" t="inlineStr">
        <is>
          <t>5/2021</t>
        </is>
      </c>
      <c r="C141" t="inlineStr">
        <is>
          <t>23/11/2021</t>
        </is>
      </c>
      <c r="D141" t="n">
        <v>34245.6</v>
      </c>
      <c r="E141" t="inlineStr">
        <is>
          <t>Ativo</t>
        </is>
      </c>
      <c r="F141">
        <f>TERMO DE CONTRATO 005/2021; =SERVIÇOS EM SERVIDORES EM NUVEM; =LOCAL: REDE SUS/AM; =PERÍODO: OUTUBRO/2021.</f>
        <v/>
      </c>
    </row>
    <row r="142">
      <c r="A142" t="inlineStr">
        <is>
          <t>2021NE0004189</t>
        </is>
      </c>
      <c r="B142" t="inlineStr">
        <is>
          <t>54/2018</t>
        </is>
      </c>
      <c r="C142" t="inlineStr">
        <is>
          <t>23/11/2021</t>
        </is>
      </c>
      <c r="D142" t="n">
        <v>131871.28</v>
      </c>
      <c r="E142" t="inlineStr">
        <is>
          <t>Ativo</t>
        </is>
      </c>
      <c r="F142">
        <f>TERCEIRO TERMO ADITIVO AO CONTRATO 054/2018; =SERVIÇOS EM PRESTAÇÃO E SERVIÇOS PRODAM-RH; =LOCAL: SEDE; =PERÍODO: NOVEMBRO/2021.</f>
        <v/>
      </c>
    </row>
    <row r="143">
      <c r="A143" t="inlineStr">
        <is>
          <t>2025NE0005377</t>
        </is>
      </c>
      <c r="B143" t="inlineStr">
        <is>
          <t>18/2024</t>
        </is>
      </c>
      <c r="C143" t="inlineStr">
        <is>
          <t>23/09/2025</t>
        </is>
      </c>
      <c r="D143" t="n">
        <v>146012.35</v>
      </c>
      <c r="E143" t="inlineStr">
        <is>
          <t>Ativo</t>
        </is>
      </c>
      <c r="F143" t="inlineStr">
        <is>
          <t>Contratação de pessoa jurídica especializada para prestação de serviços PRODAM-RH a fim de atender as necessidades da Secretaria de Estado de Saúde – SES/AM</t>
        </is>
      </c>
    </row>
    <row r="144">
      <c r="A144" t="inlineStr">
        <is>
          <t>2025NE0005378</t>
        </is>
      </c>
      <c r="B144" t="inlineStr">
        <is>
          <t>18/2024</t>
        </is>
      </c>
      <c r="C144" t="inlineStr">
        <is>
          <t>23/09/2025</t>
        </is>
      </c>
      <c r="D144" t="n">
        <v>146012.35</v>
      </c>
      <c r="E144" t="inlineStr">
        <is>
          <t>Ativo</t>
        </is>
      </c>
      <c r="F144" t="inlineStr">
        <is>
          <t>Contratação de pessoa jurídica especializada para prestação de serviços PRODAM-RH a fim de atender as necessidades da Secretaria de Estado de Saúde – SES/AM</t>
        </is>
      </c>
    </row>
    <row r="145">
      <c r="A145" t="inlineStr">
        <is>
          <t>2023NE0003202</t>
        </is>
      </c>
      <c r="B145" t="inlineStr">
        <is>
          <t>54/2018</t>
        </is>
      </c>
      <c r="C145" t="inlineStr">
        <is>
          <t>23/08/2023</t>
        </is>
      </c>
      <c r="D145" t="n">
        <v>146012.35</v>
      </c>
      <c r="E145" t="inlineStr">
        <is>
          <t>Ativo</t>
        </is>
      </c>
      <c r="F145" t="inlineStr">
        <is>
          <t>Prestação de Serviços PRODAM-RH visando manter o cadastro servidores e folha de pagamento de pessoal, processar folha de pagamento e fornecer relatórios para efetivação de pagamento TC: 054/2018 AD: 0</t>
        </is>
      </c>
    </row>
    <row r="146">
      <c r="A146" t="inlineStr">
        <is>
          <t>2023NE0003200</t>
        </is>
      </c>
      <c r="B146" t="inlineStr">
        <is>
          <t>5/2021</t>
        </is>
      </c>
      <c r="C146" t="inlineStr">
        <is>
          <t>23/08/2023</t>
        </is>
      </c>
      <c r="D146" t="n">
        <v>36112.42</v>
      </c>
      <c r="E146" t="inlineStr">
        <is>
          <t>Ativo</t>
        </is>
      </c>
      <c r="F146" t="inlineStr">
        <is>
          <t>Contratação da prestação de serviço de hospedagem de servidores em ambiente de máquinas virtuais em nuvem, a fim de atender às necessidades de Tecnologia da Informação da Secretaria de Saúde. TC: 005/</t>
        </is>
      </c>
    </row>
    <row r="147">
      <c r="A147" t="inlineStr">
        <is>
          <t>2023NE0003201</t>
        </is>
      </c>
      <c r="B147" t="inlineStr">
        <is>
          <t>18/2021</t>
        </is>
      </c>
      <c r="C147" t="inlineStr">
        <is>
          <t>23/08/2023</t>
        </is>
      </c>
      <c r="D147" t="n">
        <v>13880.58</v>
      </c>
      <c r="E147" t="inlineStr">
        <is>
          <t>Ativo</t>
        </is>
      </c>
      <c r="F147" t="inlineStr">
        <is>
          <t>restação de serviços de desenvolvimento de sistemas de informação, serviço de acesso, consultoria/assessoria e produção de repositórios e armazéns de dados (DataWarehouse) do Governo de Estado TC: 018</t>
        </is>
      </c>
    </row>
    <row r="148">
      <c r="A148" t="inlineStr">
        <is>
          <t>2023NE0003203</t>
        </is>
      </c>
      <c r="B148" t="inlineStr">
        <is>
          <t>21/2021</t>
        </is>
      </c>
      <c r="C148" t="inlineStr">
        <is>
          <t>23/08/2023</t>
        </is>
      </c>
      <c r="D148" t="n">
        <v>325367.97</v>
      </c>
      <c r="E148" t="inlineStr">
        <is>
          <t>Ativo</t>
        </is>
      </c>
      <c r="F148" t="inlineStr">
        <is>
          <t>serviços de fornecimento de circuito de transmissão de dados com link ponto a ponto entre as unidades da SES-AM TC: 021/2021 AD: 01.</t>
        </is>
      </c>
    </row>
    <row r="149">
      <c r="A149" t="inlineStr">
        <is>
          <t>2021NE0002058</t>
        </is>
      </c>
      <c r="B149" t="inlineStr">
        <is>
          <t>18/2021</t>
        </is>
      </c>
      <c r="C149" t="inlineStr">
        <is>
          <t>23/06/2021</t>
        </is>
      </c>
      <c r="D149" t="n">
        <v>321860.89</v>
      </c>
      <c r="E149" t="inlineStr">
        <is>
          <t>Ativo</t>
        </is>
      </c>
      <c r="F149" t="inlineStr">
        <is>
          <t>Contratação de pessoa jurídica especializada em serviços de desenvolvimento de sistemas de informação, serviço de acesso, consultoria/assessoria e produção de repositórios e armazéns de dados (DataWar</t>
        </is>
      </c>
    </row>
    <row r="150">
      <c r="A150" t="inlineStr">
        <is>
          <t>2021NE0002053</t>
        </is>
      </c>
      <c r="B150" t="inlineStr"/>
      <c r="C150" t="inlineStr">
        <is>
          <t>23/06/2021</t>
        </is>
      </c>
      <c r="D150" t="n">
        <v>321860.89</v>
      </c>
      <c r="E150" t="inlineStr">
        <is>
          <t>Ativo</t>
        </is>
      </c>
      <c r="F150">
        <f>ANULAÇAO TOTAL DA NE =MOTIVO DESCRIÇÃO INCORRETA</f>
        <v/>
      </c>
    </row>
    <row r="151">
      <c r="A151" t="inlineStr">
        <is>
          <t>2026NE0001203</t>
        </is>
      </c>
      <c r="B151" t="inlineStr">
        <is>
          <t>54/2018</t>
        </is>
      </c>
      <c r="C151" t="inlineStr">
        <is>
          <t>23/03/2026</t>
        </is>
      </c>
      <c r="D151" t="n">
        <v>104884.8</v>
      </c>
      <c r="E151" t="inlineStr">
        <is>
          <t>Ativo</t>
        </is>
      </c>
      <c r="F151">
        <f>QUINTO TERMO ADITIVO AO CONTRATO Nº 081/2010=VIGÊNCIA: 01/10/2015 A 30/09/2016;=SISTEMA DE RECURSOS HUMANOS PARA FOLHA DE PAGAMENTO .=UNIDADES DE SAÚDE/SES-AM.=PERIODO: SETEMBRO/2016</f>
        <v/>
      </c>
    </row>
    <row r="152">
      <c r="A152" t="inlineStr">
        <is>
          <t>2014NE05667</t>
        </is>
      </c>
      <c r="B152" t="inlineStr">
        <is>
          <t>116/2013</t>
        </is>
      </c>
      <c r="C152" t="inlineStr">
        <is>
          <t>22/12/2014</t>
        </is>
      </c>
      <c r="D152" t="n">
        <v>219646</v>
      </c>
      <c r="E152" t="inlineStr">
        <is>
          <t>Ativo</t>
        </is>
      </c>
      <c r="F152" t="inlineStr">
        <is>
          <t>COBERTURA FINANCEIRA 2014</t>
        </is>
      </c>
    </row>
    <row r="153">
      <c r="A153" t="inlineStr">
        <is>
          <t>2025NE0006314</t>
        </is>
      </c>
      <c r="B153" t="inlineStr">
        <is>
          <t>54/2018</t>
        </is>
      </c>
      <c r="C153" t="inlineStr">
        <is>
          <t>22/10/2025</t>
        </is>
      </c>
      <c r="D153" t="n">
        <v>33917.28</v>
      </c>
      <c r="E153" t="inlineStr">
        <is>
          <t>Ativo</t>
        </is>
      </c>
      <c r="F153">
        <f>CONTRATO 054/2018 - 5º TA;=VIGÊNCIA: 09/07/2023 a 08/07/2024 =SERVIÇO: PRESTAÇÃO E SERVIÇOS PRODAM-RH; =LOCAL : SES-AM; =PERÍODO: DEZEMBRO DE 2023;</f>
        <v/>
      </c>
    </row>
    <row r="154">
      <c r="A154" t="inlineStr">
        <is>
          <t>2025NE0006315</t>
        </is>
      </c>
      <c r="B154" t="inlineStr">
        <is>
          <t>54/2018</t>
        </is>
      </c>
      <c r="C154" t="inlineStr">
        <is>
          <t>22/10/2025</t>
        </is>
      </c>
      <c r="D154" t="n">
        <v>2567.39</v>
      </c>
      <c r="E154" t="inlineStr">
        <is>
          <t>Ativo</t>
        </is>
      </c>
      <c r="F154">
        <f>CONTRATO 054/2018 - 5º TA;=VIGÊNCIA: 09/07/2023 a 08/07/2024 =SERVIÇO: PRESTAÇÃO E SERVIÇOS PRODAM-RH; =LOCAL : SES-AM; =PERÍODO: DEZEMBRO DE 2023;</f>
        <v/>
      </c>
    </row>
    <row r="155">
      <c r="A155" t="inlineStr">
        <is>
          <t>2018NE04517</t>
        </is>
      </c>
      <c r="B155" t="inlineStr">
        <is>
          <t>54/2018</t>
        </is>
      </c>
      <c r="C155" t="inlineStr">
        <is>
          <t>22/10/2018</t>
        </is>
      </c>
      <c r="D155" t="n">
        <v>84934.03999999999</v>
      </c>
      <c r="E155" t="inlineStr">
        <is>
          <t>Ativo</t>
        </is>
      </c>
      <c r="F155">
        <f>DESPESA SEM COBERTURA CONTRATUAL; =RI: 2018RI00225; =PRESTAÇÃO DE SERVIÇO DE EXECUÇÃO DE SISTEMAS; =SUS/AM; =JANEIRO/2018.</f>
        <v/>
      </c>
    </row>
    <row r="156">
      <c r="A156" t="inlineStr">
        <is>
          <t>2025NE0005295</t>
        </is>
      </c>
      <c r="B156" t="inlineStr">
        <is>
          <t>18/2024</t>
        </is>
      </c>
      <c r="C156" t="inlineStr">
        <is>
          <t>22/09/2025</t>
        </is>
      </c>
      <c r="D156" t="n">
        <v>146012.35</v>
      </c>
      <c r="E156" t="inlineStr">
        <is>
          <t>Ativo</t>
        </is>
      </c>
      <c r="F156" t="inlineStr">
        <is>
          <t>Contratação de pessoa jurídica especializada para prestação de serviços PRODAM-RH a fim de atender as necessidades da Secretaria de Estado de Saúde – SES/AM</t>
        </is>
      </c>
    </row>
    <row r="157">
      <c r="A157" t="inlineStr">
        <is>
          <t>2025NE0005296</t>
        </is>
      </c>
      <c r="B157" t="inlineStr">
        <is>
          <t>18/2021</t>
        </is>
      </c>
      <c r="C157" t="inlineStr">
        <is>
          <t>22/09/2025</t>
        </is>
      </c>
      <c r="D157" t="n">
        <v>433592.36</v>
      </c>
      <c r="E157" t="inlineStr">
        <is>
          <t>Ativo</t>
        </is>
      </c>
      <c r="F157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58">
      <c r="A158" t="inlineStr">
        <is>
          <t>2020NE02816</t>
        </is>
      </c>
      <c r="B158" t="inlineStr"/>
      <c r="C158" t="inlineStr">
        <is>
          <t>22/09/2020</t>
        </is>
      </c>
      <c r="D158" t="n">
        <v>281933.72</v>
      </c>
      <c r="E158" t="inlineStr">
        <is>
          <t>Ativo</t>
        </is>
      </c>
      <c r="F158">
        <f>DESPESA SEM COBERTURA CONTRATUAL; =RI: 2020RI00328; =SERVIÇO DE FIREWALL, FORNECIMENTO DE TRANSMISSÃO DE DADOS, ACESSO GERENCIADO A REDE MUNDIAL; =DIVERSAS UNIDADES; =PERÍODO: 01 A 30/04/2020.</f>
        <v/>
      </c>
    </row>
    <row r="159">
      <c r="A159" t="inlineStr">
        <is>
          <t>2024NE0003968</t>
        </is>
      </c>
      <c r="B159" t="inlineStr">
        <is>
          <t>18/2024</t>
        </is>
      </c>
      <c r="C159" t="inlineStr">
        <is>
          <t>22/07/2024</t>
        </is>
      </c>
      <c r="D159" t="n">
        <v>100000</v>
      </c>
      <c r="E159" t="inlineStr">
        <is>
          <t>Ativo</t>
        </is>
      </c>
      <c r="F159" t="inlineStr">
        <is>
          <t>Contratação de pessoa jurídica especializada para prestação de serviços PRODAM-RH a fim de atender as necessidades da Secretaria de Estado de Saúde – SES/AM</t>
        </is>
      </c>
    </row>
    <row r="160">
      <c r="A160" t="inlineStr">
        <is>
          <t>2022NE0002259</t>
        </is>
      </c>
      <c r="B160" t="inlineStr">
        <is>
          <t>18/2021</t>
        </is>
      </c>
      <c r="C160" t="inlineStr">
        <is>
          <t>22/06/2022</t>
        </is>
      </c>
      <c r="D160" t="n">
        <v>1050.12</v>
      </c>
      <c r="E160" t="inlineStr">
        <is>
          <t>Ativo</t>
        </is>
      </c>
      <c r="F160" t="inlineStr">
        <is>
          <t>restação de serviços de desenvolvimento de sistemas de informação, serviço de acesso, consultoria/assessoria e produção de repositórios e armazéns de dados (DataWarehouse) do Governo de Estado, e serv</t>
        </is>
      </c>
    </row>
    <row r="161">
      <c r="A161" t="inlineStr">
        <is>
          <t>2024NE0002496</t>
        </is>
      </c>
      <c r="B161" t="inlineStr">
        <is>
          <t>21/2021</t>
        </is>
      </c>
      <c r="C161" t="inlineStr">
        <is>
          <t>22/05/2024</t>
        </is>
      </c>
      <c r="D161" t="n">
        <v>325367.97</v>
      </c>
      <c r="E161" t="inlineStr">
        <is>
          <t>Ativo</t>
        </is>
      </c>
      <c r="F161" t="inlineStr">
        <is>
          <t>Contratação da prestação de serviços de fornecimento de circuito de transmissão de dados com link ponto a ponto entre as unidades da SES-AM TC: 0021/2021 AD: 02.</t>
        </is>
      </c>
    </row>
    <row r="162">
      <c r="A162" t="inlineStr">
        <is>
          <t>2024NE0002488</t>
        </is>
      </c>
      <c r="B162" t="inlineStr">
        <is>
          <t>18/2021</t>
        </is>
      </c>
      <c r="C162" t="inlineStr">
        <is>
          <t>22/05/2024</t>
        </is>
      </c>
      <c r="D162" t="n">
        <v>663281.42</v>
      </c>
      <c r="E162" t="inlineStr">
        <is>
          <t>Ativo</t>
        </is>
      </c>
      <c r="F162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63">
      <c r="A163" t="inlineStr">
        <is>
          <t>2024NE0002486</t>
        </is>
      </c>
      <c r="B163" t="inlineStr">
        <is>
          <t>54/2018</t>
        </is>
      </c>
      <c r="C163" t="inlineStr">
        <is>
          <t>22/05/2024</t>
        </is>
      </c>
      <c r="D163" t="n">
        <v>146012.35</v>
      </c>
      <c r="E163" t="inlineStr">
        <is>
          <t>Ativo</t>
        </is>
      </c>
      <c r="F163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164">
      <c r="A164" t="inlineStr">
        <is>
          <t>2024NE0002487</t>
        </is>
      </c>
      <c r="B164" t="inlineStr">
        <is>
          <t>5/2021</t>
        </is>
      </c>
      <c r="C164" t="inlineStr">
        <is>
          <t>22/05/2024</t>
        </is>
      </c>
      <c r="D164" t="n">
        <v>36112.42</v>
      </c>
      <c r="E164" t="inlineStr">
        <is>
          <t>Ativo</t>
        </is>
      </c>
      <c r="F164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65">
      <c r="A165" t="inlineStr">
        <is>
          <t>2022NE0004736</t>
        </is>
      </c>
      <c r="B165" t="inlineStr">
        <is>
          <t>21/2021</t>
        </is>
      </c>
      <c r="C165" t="inlineStr">
        <is>
          <t>21/10/2022</t>
        </is>
      </c>
      <c r="D165" t="n">
        <v>325367.97</v>
      </c>
      <c r="E165" t="inlineStr">
        <is>
          <t>Ativo</t>
        </is>
      </c>
      <c r="F165" t="inlineStr">
        <is>
          <t>serviços de fornecimento de circuito de transmissão de dados com link ponto a ponto entre as unidades da SES-AM, SES-AM e a PRODAM.</t>
        </is>
      </c>
    </row>
    <row r="166">
      <c r="A166" t="inlineStr">
        <is>
          <t>2022NE0004748</t>
        </is>
      </c>
      <c r="B166" t="inlineStr">
        <is>
          <t>18/2021</t>
        </is>
      </c>
      <c r="C166" t="inlineStr">
        <is>
          <t>21/10/2022</t>
        </is>
      </c>
      <c r="D166" t="n">
        <v>638786.27</v>
      </c>
      <c r="E166" t="inlineStr">
        <is>
          <t>Ativo</t>
        </is>
      </c>
      <c r="F166">
        <f>CONTRATO Nº 018/2021</f>
        <v/>
      </c>
    </row>
    <row r="167">
      <c r="A167" t="inlineStr">
        <is>
          <t>2021NE0002397</t>
        </is>
      </c>
      <c r="B167" t="inlineStr">
        <is>
          <t>5/2021</t>
        </is>
      </c>
      <c r="C167" t="inlineStr">
        <is>
          <t>21/07/2021</t>
        </is>
      </c>
      <c r="D167" t="n">
        <v>34245.6</v>
      </c>
      <c r="E167" t="inlineStr">
        <is>
          <t>Ativo</t>
        </is>
      </c>
      <c r="F167" t="inlineStr">
        <is>
          <t>REFORÇO DA NOTA DE EMPENHO DE EMPENHO Nº 1057/2021</t>
        </is>
      </c>
    </row>
    <row r="168">
      <c r="A168" t="inlineStr">
        <is>
          <t>2020NE01531</t>
        </is>
      </c>
      <c r="B168" t="inlineStr">
        <is>
          <t>54/2018</t>
        </is>
      </c>
      <c r="C168" t="inlineStr">
        <is>
          <t>21/05/2020</t>
        </is>
      </c>
      <c r="D168" t="n">
        <v>122306.88</v>
      </c>
      <c r="E168" t="inlineStr">
        <is>
          <t>Ativo</t>
        </is>
      </c>
      <c r="F168" t="inlineStr">
        <is>
          <t>=</t>
        </is>
      </c>
    </row>
    <row r="169">
      <c r="A169" t="inlineStr">
        <is>
          <t>2016NE03235</t>
        </is>
      </c>
      <c r="B169" t="inlineStr">
        <is>
          <t>81/2010</t>
        </is>
      </c>
      <c r="C169" t="inlineStr">
        <is>
          <t>20/12/2016</t>
        </is>
      </c>
      <c r="D169" t="n">
        <v>143255.62</v>
      </c>
      <c r="E169" t="inlineStr">
        <is>
          <t>Ativo</t>
        </is>
      </c>
      <c r="F169">
        <f>REFORÇO DA NOTA DE EMPENHO Nº 3137/16, REFERENTE AO QUINTO TERMO ADITIVO AO CONTRATO Nº 081/10, CADASTRO E FOLHA DE PAGAMENTO, PERÍODO DE JULHO (INTEGRAL) A AGOSTO (PARCIAL) DE 2016.</f>
        <v/>
      </c>
    </row>
    <row r="170">
      <c r="A170" t="inlineStr">
        <is>
          <t>2016NE03234</t>
        </is>
      </c>
      <c r="B170" t="inlineStr">
        <is>
          <t>116/2013</t>
        </is>
      </c>
      <c r="C170" t="inlineStr">
        <is>
          <t>20/12/2016</t>
        </is>
      </c>
      <c r="D170" t="n">
        <v>462047.34</v>
      </c>
      <c r="E170" t="inlineStr">
        <is>
          <t>Ativo</t>
        </is>
      </c>
      <c r="F170">
        <f>REFERENTE AO SEGUNDO TERMO ADITIVO AO CONTRATO Nº 116/13, SISTEMA DE GESTÃO EM SAÚDE, PERÍODO DE MAIO A JULHO DE 2016.</f>
        <v/>
      </c>
    </row>
    <row r="171">
      <c r="A171" t="inlineStr">
        <is>
          <t>2020NE03809</t>
        </is>
      </c>
      <c r="B171" t="inlineStr"/>
      <c r="C171" t="inlineStr">
        <is>
          <t>20/11/2020</t>
        </is>
      </c>
      <c r="D171" t="n">
        <v>263742.56</v>
      </c>
      <c r="E171" t="inlineStr">
        <is>
          <t>Ativo</t>
        </is>
      </c>
      <c r="F171">
        <f>SEGUNDO TERMO ADITIVO AO CONTRATO 054/2018; =SERVIÇOS EM PRODAM-RH E PROCESSAMENTO DE DADOS; =PERÍODO: DEZEMBRO/2020; =LOCAL: RH SES-AM.</f>
        <v/>
      </c>
    </row>
    <row r="172">
      <c r="A172" t="inlineStr">
        <is>
          <t>2020NE03808</t>
        </is>
      </c>
      <c r="B172" t="inlineStr"/>
      <c r="C172" t="inlineStr">
        <is>
          <t>20/11/2020</t>
        </is>
      </c>
      <c r="D172" t="n">
        <v>80764.00999999999</v>
      </c>
      <c r="E172" t="inlineStr">
        <is>
          <t>Ativo</t>
        </is>
      </c>
      <c r="F172">
        <f>RECONHECIMENTO DE DÍVIDA =RD Nº 00973/2020; =SEM COBERTURA CONTRATUAL; =SERVIÇOS DE SIST. DE RECURSOS HUMANOS E FOLHA DE PAGAMENTO; =LOCAL: SUSAM SEDE E UNIDADES DE SAÚDE; =PERÍODO: 01 A 30/06/2018.</f>
        <v/>
      </c>
    </row>
    <row r="173">
      <c r="A173" t="inlineStr">
        <is>
          <t>2020NE03807</t>
        </is>
      </c>
      <c r="B173" t="inlineStr"/>
      <c r="C173" t="inlineStr">
        <is>
          <t>20/11/2020</t>
        </is>
      </c>
      <c r="D173" t="n">
        <v>79423.09</v>
      </c>
      <c r="E173" t="inlineStr">
        <is>
          <t>Ativo</t>
        </is>
      </c>
      <c r="F173">
        <f>RECONHECIMENTO DE DÍVIDA; =RD Nº 1046/2020; =SEM COBERTURA CONTRATUAL; =SERVIÇOS DE EXECUÇÃO DE SISTEMAS DE RECURSOS HUMANOS; =LOCAL: SUSAM E UNIDADES DE SAÚDE; =PERÍODO: 01 A 31/05/2018;</f>
        <v/>
      </c>
    </row>
    <row r="174">
      <c r="A174" t="inlineStr">
        <is>
          <t>2021NE0003120</t>
        </is>
      </c>
      <c r="B174" t="inlineStr">
        <is>
          <t>54/2018</t>
        </is>
      </c>
      <c r="C174" t="inlineStr">
        <is>
          <t>20/09/2021</t>
        </is>
      </c>
      <c r="D174" t="n">
        <v>131871.28</v>
      </c>
      <c r="E174" t="inlineStr">
        <is>
          <t>Ativo</t>
        </is>
      </c>
      <c r="F174">
        <f>REFORÇO DA NOTA DE EMPENHO Nº 2175/2021, REFERENTE AO TERCEIRO TERMO ADITIVO AO CONTRATO Nº 054/2018 - SES-AM;</f>
        <v/>
      </c>
    </row>
    <row r="175">
      <c r="A175" t="inlineStr">
        <is>
          <t>2021NE0002352</t>
        </is>
      </c>
      <c r="B175" t="inlineStr">
        <is>
          <t>18/2021</t>
        </is>
      </c>
      <c r="C175" t="inlineStr">
        <is>
          <t>20/07/2021</t>
        </is>
      </c>
      <c r="D175" t="n">
        <v>567989.8100000001</v>
      </c>
      <c r="E175" t="inlineStr">
        <is>
          <t>Ativo</t>
        </is>
      </c>
      <c r="F175">
        <f>REFORÇO DA NE 2058 AO TERMO DE CONTRATO DE PRESTAÇÃO DE SERVIÇOS DE INFORMÁTICA Nº 018/2021 SES-AM</f>
        <v/>
      </c>
    </row>
    <row r="176">
      <c r="A176" t="inlineStr">
        <is>
          <t>2026NE0001178</t>
        </is>
      </c>
      <c r="B176" t="inlineStr">
        <is>
          <t>116/2013</t>
        </is>
      </c>
      <c r="C176" t="inlineStr">
        <is>
          <t>20/03/2026</t>
        </is>
      </c>
      <c r="D176" t="n">
        <v>154015.78</v>
      </c>
      <c r="E176" t="inlineStr">
        <is>
          <t>Ativo</t>
        </is>
      </c>
      <c r="F176">
        <f>TERCEIRO TERMO ADITIVO AO CONTRATO 116/2013;=VIGÊNCIA: 01/08/2016 A 31/07/2017=REDE DE DADOS - 69 UNIDADES DE SAÚDE, CEMA, COMPLEXO REGULADOR E FARMÁCIAS POPULARES NA CAPITAL.=LOCAL: SEDE=PERIODO: OU</f>
        <v/>
      </c>
    </row>
    <row r="177">
      <c r="A177" t="inlineStr">
        <is>
          <t>2026NE0001179</t>
        </is>
      </c>
      <c r="B177" t="inlineStr">
        <is>
          <t>2/2015</t>
        </is>
      </c>
      <c r="C177" t="inlineStr">
        <is>
          <t>20/03/2026</t>
        </is>
      </c>
      <c r="D177" t="n">
        <v>249802.28</v>
      </c>
      <c r="E177" t="inlineStr">
        <is>
          <t>Ativo</t>
        </is>
      </c>
      <c r="F177">
        <f>TERCEIRO TERMO ADITIVO AO CONTRATO 002/2015;=VIGÊNCIA: 05/01/2017 A 04/01/2018 =PRESTAÇÃO DE SERVIÇOS DE FORECIMENTO DE CIRCUITO DE TRANSMISSÃO DE DADOS. =LOCAL: SES/AM; =PERIODO: OUTUBRO/2017</f>
        <v/>
      </c>
    </row>
    <row r="178">
      <c r="A178" t="inlineStr">
        <is>
          <t>2026NE0001177</t>
        </is>
      </c>
      <c r="B178" t="inlineStr">
        <is>
          <t>2/2015</t>
        </is>
      </c>
      <c r="C178" t="inlineStr">
        <is>
          <t>20/03/2026</t>
        </is>
      </c>
      <c r="D178" t="n">
        <v>285858.38</v>
      </c>
      <c r="E178" t="inlineStr">
        <is>
          <t>Ativo</t>
        </is>
      </c>
      <c r="F178">
        <f>TERCEIRO TERMO ADITIVO AO CONTRATO 002/2015; VIGÊNCIA: 05/01/2017 A 04/01/2018=REDE DE DADOS - 69 UNIDADES DE SAÚDE, CEMA, COMPLEXO REGULADOR E FARMÁCIAS POPULARES NA CAPITAL; LOCAL: UNIDADES DE SAUD</f>
        <v/>
      </c>
    </row>
    <row r="179">
      <c r="A179" t="inlineStr">
        <is>
          <t>2025NE0005253</t>
        </is>
      </c>
      <c r="B179" t="inlineStr">
        <is>
          <t>18/2024</t>
        </is>
      </c>
      <c r="C179" t="inlineStr">
        <is>
          <t>19/09/2025</t>
        </is>
      </c>
      <c r="D179" t="n">
        <v>146012.35</v>
      </c>
      <c r="E179" t="inlineStr">
        <is>
          <t>Ativo</t>
        </is>
      </c>
      <c r="F179" t="inlineStr">
        <is>
          <t>Contratação de pessoa jurídica especializada para prestação de serviços PRODAM-RH a fim de atender as necessidades da Secretaria de Estado de Saúde – SES/AM</t>
        </is>
      </c>
    </row>
    <row r="180">
      <c r="A180" t="inlineStr">
        <is>
          <t>2025NE0005251</t>
        </is>
      </c>
      <c r="B180" t="inlineStr">
        <is>
          <t>21/2021</t>
        </is>
      </c>
      <c r="C180" t="inlineStr">
        <is>
          <t>19/09/2025</t>
        </is>
      </c>
      <c r="D180" t="n">
        <v>314505.49</v>
      </c>
      <c r="E180" t="inlineStr">
        <is>
          <t>Ativo</t>
        </is>
      </c>
      <c r="F180" t="inlineStr">
        <is>
          <t>Contratação da prestação de serviços de fornecimento de circuito de transmissão de dados com link ponto a ponto entre as unidades da SES-AM TC: 0021/2021 AD: 03.</t>
        </is>
      </c>
    </row>
    <row r="181">
      <c r="A181" t="inlineStr">
        <is>
          <t>2024NE0001018</t>
        </is>
      </c>
      <c r="B181" t="inlineStr">
        <is>
          <t>21/2021</t>
        </is>
      </c>
      <c r="C181" t="inlineStr">
        <is>
          <t>19/03/2024</t>
        </is>
      </c>
      <c r="D181" t="n">
        <v>325367.97</v>
      </c>
      <c r="E181" t="inlineStr">
        <is>
          <t>Ativo</t>
        </is>
      </c>
      <c r="F181" t="inlineStr">
        <is>
          <t>Contratação da prestação de serviços de fornecimento de circuito de transmissão de dados com link ponto a ponto entre as unidades da SES-AM TC: 0021/2021 AD: 02.</t>
        </is>
      </c>
    </row>
    <row r="182">
      <c r="A182" t="inlineStr">
        <is>
          <t>2024NE0001020</t>
        </is>
      </c>
      <c r="B182" t="inlineStr">
        <is>
          <t>5/2021</t>
        </is>
      </c>
      <c r="C182" t="inlineStr">
        <is>
          <t>19/03/2024</t>
        </is>
      </c>
      <c r="D182" t="n">
        <v>36112.42</v>
      </c>
      <c r="E182" t="inlineStr">
        <is>
          <t>Ativo</t>
        </is>
      </c>
      <c r="F18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183">
      <c r="A183" t="inlineStr">
        <is>
          <t>2024NE0001017</t>
        </is>
      </c>
      <c r="B183" t="inlineStr">
        <is>
          <t>18/2021</t>
        </is>
      </c>
      <c r="C183" t="inlineStr">
        <is>
          <t>19/03/2024</t>
        </is>
      </c>
      <c r="D183" t="n">
        <v>663281.42</v>
      </c>
      <c r="E183" t="inlineStr">
        <is>
          <t>Ativo</t>
        </is>
      </c>
      <c r="F183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184">
      <c r="A184" t="inlineStr">
        <is>
          <t>2024NE0001019</t>
        </is>
      </c>
      <c r="B184" t="inlineStr">
        <is>
          <t>54/2018</t>
        </is>
      </c>
      <c r="C184" t="inlineStr">
        <is>
          <t>19/03/2024</t>
        </is>
      </c>
      <c r="D184" t="n">
        <v>146012.35</v>
      </c>
      <c r="E184" t="inlineStr">
        <is>
          <t>Ativo</t>
        </is>
      </c>
      <c r="F184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185">
      <c r="A185" t="inlineStr">
        <is>
          <t>2020NE00906</t>
        </is>
      </c>
      <c r="B185" t="inlineStr">
        <is>
          <t>54/2018</t>
        </is>
      </c>
      <c r="C185" t="inlineStr">
        <is>
          <t>19/03/2020</t>
        </is>
      </c>
      <c r="D185" t="n">
        <v>122306.88</v>
      </c>
      <c r="E185" t="inlineStr">
        <is>
          <t>Ativo</t>
        </is>
      </c>
      <c r="F185">
        <f>REFORÇO DA NE 96/2020 REFERENTE AO PRIMEIRO TERMO ADITIVO AO CONTRATO Nº 054/2018 - SUSAM</f>
        <v/>
      </c>
    </row>
    <row r="186">
      <c r="A186" t="inlineStr">
        <is>
          <t>2022NE0003262</t>
        </is>
      </c>
      <c r="B186" t="inlineStr">
        <is>
          <t>18/2021</t>
        </is>
      </c>
      <c r="C186" t="inlineStr">
        <is>
          <t>18/08/2022</t>
        </is>
      </c>
      <c r="D186" t="n">
        <v>638786.27</v>
      </c>
      <c r="E186" t="inlineStr">
        <is>
          <t>Ativo</t>
        </is>
      </c>
      <c r="F186">
        <f>REFORÇO DA NE 2259/22 AO PRIMEIRO TERMO DO CONTRATO 018/21</f>
        <v/>
      </c>
    </row>
    <row r="187">
      <c r="A187" t="inlineStr">
        <is>
          <t>2022NE0003262</t>
        </is>
      </c>
      <c r="B187" t="inlineStr">
        <is>
          <t>18/2021</t>
        </is>
      </c>
      <c r="C187" t="inlineStr">
        <is>
          <t>18/08/2022</t>
        </is>
      </c>
      <c r="D187" t="n">
        <v>638786.27</v>
      </c>
      <c r="E187" t="inlineStr">
        <is>
          <t>Ativo</t>
        </is>
      </c>
      <c r="F187">
        <f>REFORÇO DA NE 2259/22 AO PRIMEIRO TERMO DO CONTRATO 018/21</f>
        <v/>
      </c>
    </row>
    <row r="188">
      <c r="A188" t="inlineStr">
        <is>
          <t>2022NE0003293</t>
        </is>
      </c>
      <c r="B188" t="inlineStr">
        <is>
          <t>5/2021</t>
        </is>
      </c>
      <c r="C188" t="inlineStr">
        <is>
          <t>18/08/2022</t>
        </is>
      </c>
      <c r="D188" t="n">
        <v>68491.2</v>
      </c>
      <c r="E188" t="inlineStr">
        <is>
          <t>Ativo</t>
        </is>
      </c>
      <c r="F188">
        <f>REFORÇO DA NE 1176/22 AO PRIMEIRO TERMO DO CONTRATO 005/21</f>
        <v/>
      </c>
    </row>
    <row r="189">
      <c r="A189" t="inlineStr">
        <is>
          <t>2025NE0003986</t>
        </is>
      </c>
      <c r="B189" t="inlineStr"/>
      <c r="C189" t="inlineStr">
        <is>
          <t>18/07/2025</t>
        </is>
      </c>
      <c r="D189" t="n">
        <v>23408.55</v>
      </c>
      <c r="E189" t="inlineStr">
        <is>
          <t>Ativo</t>
        </is>
      </c>
      <c r="F189">
        <f>ANULAÇÃO PARCIAL DA NE 2697/25 =MOTIVO: SALDO DE EMPENHO</f>
        <v/>
      </c>
    </row>
    <row r="190">
      <c r="A190" t="inlineStr">
        <is>
          <t>2021NE0001975</t>
        </is>
      </c>
      <c r="B190" t="inlineStr"/>
      <c r="C190" t="inlineStr">
        <is>
          <t>18/06/2021</t>
        </is>
      </c>
      <c r="D190" t="n">
        <v>281933.72</v>
      </c>
      <c r="E190" t="inlineStr">
        <is>
          <t>Ativo</t>
        </is>
      </c>
      <c r="F190">
        <f>RD: 2021RD0000618; =SEM COBERTURA CONTRATUAL; =SERV. DE FIREWALL, ACESSO À REDE MUNDIAL, FORNECIMENTO DE CIRCUITO DE TRANSMISSÃO DE DADOS; =HPS 28 DE AGOSTO, POL. CODAJÁS, PRODAM E SUSAM; =PERÍODO: 0</f>
        <v/>
      </c>
    </row>
    <row r="191">
      <c r="A191" t="inlineStr">
        <is>
          <t>2015NE02037</t>
        </is>
      </c>
      <c r="B191" t="inlineStr">
        <is>
          <t>2/2015</t>
        </is>
      </c>
      <c r="C191" t="inlineStr">
        <is>
          <t>18/05/2015</t>
        </is>
      </c>
      <c r="D191" t="n">
        <v>335861.68</v>
      </c>
      <c r="E191" t="inlineStr">
        <is>
          <t>Ativo</t>
        </is>
      </c>
      <c r="F191" t="inlineStr">
        <is>
          <t>REFERENTE AO CT002/2015 - PARCELA DE ABRIL/2015.</t>
        </is>
      </c>
    </row>
    <row r="192">
      <c r="A192" t="inlineStr">
        <is>
          <t>2025NE0007148</t>
        </is>
      </c>
      <c r="B192" t="inlineStr">
        <is>
          <t>54/2018</t>
        </is>
      </c>
      <c r="C192" t="inlineStr">
        <is>
          <t>17/11/2025</t>
        </is>
      </c>
      <c r="D192" t="n">
        <v>146012.35</v>
      </c>
      <c r="E192" t="inlineStr">
        <is>
          <t>Ativo</t>
        </is>
      </c>
      <c r="F192" t="inlineStr">
        <is>
          <t>QUINTO TERMO ADITIVO AO CONTRATO 054/2018;VIGÊNCIA: 09/07/2023 A 08/07/2024;PRESTAÇÃO DE SERVIÇOS DE MANTER CADASTRO SERVIDORES E FOLHA DE PAGAMENTO DE PESSOAL, PROCESSAR FOLHA DE PAGAMENTO E FORNECER</t>
        </is>
      </c>
    </row>
    <row r="193">
      <c r="A193" t="inlineStr">
        <is>
          <t>2025NE0007143</t>
        </is>
      </c>
      <c r="B193" t="inlineStr">
        <is>
          <t>54/2018</t>
        </is>
      </c>
      <c r="C193" t="inlineStr">
        <is>
          <t>17/11/2025</t>
        </is>
      </c>
      <c r="D193" t="n">
        <v>146012.35</v>
      </c>
      <c r="E193" t="inlineStr">
        <is>
          <t>Ativo</t>
        </is>
      </c>
      <c r="F193">
        <f>QUINTO TERMO ADITIVO AO CONTRATO 054/2018;=VIGÊNCIA: 09/07/2023 A 08/07/2024;=SERVIÇOS PRODAM-RH, VISANDO MANTER O CADASTRO DE SERVIDORES E FOLHA DE PAGAMENTO DE PESSOAL,PROCESSAR FOLHA DE PAGAMENTO </f>
        <v/>
      </c>
    </row>
    <row r="194">
      <c r="A194" t="inlineStr">
        <is>
          <t>2025NE0007144</t>
        </is>
      </c>
      <c r="B194" t="inlineStr">
        <is>
          <t>21/2021</t>
        </is>
      </c>
      <c r="C194" t="inlineStr">
        <is>
          <t>17/11/2025</t>
        </is>
      </c>
      <c r="D194" t="n">
        <v>36112.42</v>
      </c>
      <c r="E194" t="inlineStr">
        <is>
          <t>Ativo</t>
        </is>
      </c>
      <c r="F194">
        <f>SEGUNDO TERMO ADITIVO DO CONTRATO 021/2021=VIGÊNCIA: 08/02/2023 A 07/02/2024;=SERVIÇOS DE HOSPEDAGEM DE SERVIDORES EM AMBIENTE DE MÁQUINAS VIRTUAIS EM NUVEM; =SES-AM =PERÍODO: OUTUBRO/2023</f>
        <v/>
      </c>
    </row>
    <row r="195">
      <c r="A195" t="inlineStr">
        <is>
          <t>2025NE0007151</t>
        </is>
      </c>
      <c r="B195" t="inlineStr">
        <is>
          <t>18/2021</t>
        </is>
      </c>
      <c r="C195" t="inlineStr">
        <is>
          <t>17/11/2025</t>
        </is>
      </c>
      <c r="D195" t="n">
        <v>605520.97</v>
      </c>
      <c r="E195" t="inlineStr">
        <is>
          <t>Ativo</t>
        </is>
      </c>
      <c r="F195">
        <f>SEGUNDO TERMO ADITIVO AO CONTRATO 018/2021;=VIGÊNCIA: 14/06/2023 A 13/06/2024;=SERVIÇOS DE DESENVOLVIMENTO DE SISTEMAS DE INFORMAÇÃO, SERVIÇO DE ACESSO, CONSULTORIA/ASSESSORIA E PRODUÇÃO DE REPOSITÓR</f>
        <v/>
      </c>
    </row>
    <row r="196">
      <c r="A196" t="inlineStr">
        <is>
          <t>2025NE0007146</t>
        </is>
      </c>
      <c r="B196" t="inlineStr">
        <is>
          <t>21/2021</t>
        </is>
      </c>
      <c r="C196" t="inlineStr">
        <is>
          <t>17/11/2025</t>
        </is>
      </c>
      <c r="D196" t="n">
        <v>281933.72</v>
      </c>
      <c r="E196" t="inlineStr">
        <is>
          <t>Ativo</t>
        </is>
      </c>
      <c r="F196">
        <f>DESPESA SEM COBERTURA CONTRATUAL;=PRESTAÇÃO DE SERVIÇOS DE FIREWALL, ACESSO GERENCIADO À REDE MUNDIAL, FORNECIMENTO DE CIRCUITO DE TRANSMISSÃO DE DADOS; =SUSAM SEDE E DEMAIS UNIDADES DE SAÚDE; =PERÍO</f>
        <v/>
      </c>
    </row>
    <row r="197">
      <c r="A197" t="inlineStr">
        <is>
          <t>2025NE0007150</t>
        </is>
      </c>
      <c r="B197" t="inlineStr">
        <is>
          <t>54/2018</t>
        </is>
      </c>
      <c r="C197" t="inlineStr">
        <is>
          <t>17/11/2025</t>
        </is>
      </c>
      <c r="D197" t="n">
        <v>146012.35</v>
      </c>
      <c r="E197" t="inlineStr">
        <is>
          <t>Ativo</t>
        </is>
      </c>
      <c r="F197">
        <f>QUINTO TERMO ADITIVO AO CONTRATO Nº 054/2018;=VIGÊNCIA: 09/07/2023 A 08/07/2024; =SERVIÇOS PRODAM-RH VISANDO MANTER O CADASTRO SERVIDORES E FOLHA DE PAGAMENTO DE PESSOAL, PROCESSAR FOLHA DE PAGAMENTO</f>
        <v/>
      </c>
    </row>
    <row r="198">
      <c r="A198" t="inlineStr">
        <is>
          <t>2025NE0006119</t>
        </is>
      </c>
      <c r="B198" t="inlineStr">
        <is>
          <t>18/2024</t>
        </is>
      </c>
      <c r="C198" t="inlineStr">
        <is>
          <t>17/10/2025</t>
        </is>
      </c>
      <c r="D198" t="n">
        <v>146012.35</v>
      </c>
      <c r="E198" t="inlineStr">
        <is>
          <t>Ativo</t>
        </is>
      </c>
      <c r="F198" t="inlineStr">
        <is>
          <t>Contratação de pessoa jurídica especializada para prestação de serviços PRODAM-RH a fim de atender as necessidades da Secretaria de Estado de Saúde – SES/AM</t>
        </is>
      </c>
    </row>
    <row r="199">
      <c r="A199" t="inlineStr">
        <is>
          <t>2020NE02021</t>
        </is>
      </c>
      <c r="B199" t="inlineStr">
        <is>
          <t>54/2018</t>
        </is>
      </c>
      <c r="C199" t="inlineStr">
        <is>
          <t>17/07/2020</t>
        </is>
      </c>
      <c r="D199" t="n">
        <v>122306.88</v>
      </c>
      <c r="E199" t="inlineStr">
        <is>
          <t>Ativo</t>
        </is>
      </c>
      <c r="F199">
        <f>PRIMEIRO TERMO ADITIVO AO CONTRATO 054/2018; =PRESTAÇÃO DE SERVIÇOS PRODAM-RH; =PERÍODO: JUNHO/2020; =LOCAL: SUSAM/SEDE.</f>
        <v/>
      </c>
    </row>
    <row r="200">
      <c r="A200" t="inlineStr">
        <is>
          <t>2024NE0003065</t>
        </is>
      </c>
      <c r="B200" t="inlineStr">
        <is>
          <t>18/2021</t>
        </is>
      </c>
      <c r="C200" t="inlineStr">
        <is>
          <t>17/06/2024</t>
        </is>
      </c>
      <c r="D200" t="n">
        <v>663281.42</v>
      </c>
      <c r="E200" t="inlineStr">
        <is>
          <t>Ativo</t>
        </is>
      </c>
      <c r="F200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01">
      <c r="A201" t="inlineStr">
        <is>
          <t>2021NE0001950</t>
        </is>
      </c>
      <c r="B201" t="inlineStr">
        <is>
          <t>5/2021</t>
        </is>
      </c>
      <c r="C201" t="inlineStr">
        <is>
          <t>17/06/2021</t>
        </is>
      </c>
      <c r="D201" t="n">
        <v>68491.2</v>
      </c>
      <c r="E201" t="inlineStr">
        <is>
          <t>Ativo</t>
        </is>
      </c>
      <c r="F201">
        <f>REFORÇO DA NE 01057 AO TERMO AO CONTRATO DE PRESTAÇÃO DE SERVIÇOS DE INFORMÁTICA Nº 005/2021 - SES-AM</f>
        <v/>
      </c>
    </row>
    <row r="202">
      <c r="A202" t="inlineStr">
        <is>
          <t>2023NE0001764</t>
        </is>
      </c>
      <c r="B202" t="inlineStr">
        <is>
          <t>5/2021</t>
        </is>
      </c>
      <c r="C202" t="inlineStr">
        <is>
          <t>17/05/2023</t>
        </is>
      </c>
      <c r="D202" t="n">
        <v>72224.84</v>
      </c>
      <c r="E202" t="inlineStr">
        <is>
          <t>Ativo</t>
        </is>
      </c>
      <c r="F202" t="inlineStr">
        <is>
          <t>Contratação da prestação de serviço de hospedagem de servidores em ambiente de máquinas virtuais em nuvem, a fim de atender às necessidades de Tecnologia da Informação da Secretaria de Saúde. TC: 005/</t>
        </is>
      </c>
    </row>
    <row r="203">
      <c r="A203" t="inlineStr">
        <is>
          <t>2023NE0001766</t>
        </is>
      </c>
      <c r="B203" t="inlineStr">
        <is>
          <t>18/2021</t>
        </is>
      </c>
      <c r="C203" t="inlineStr">
        <is>
          <t>17/05/2023</t>
        </is>
      </c>
      <c r="D203" t="n">
        <v>1277572.54</v>
      </c>
      <c r="E203" t="inlineStr">
        <is>
          <t>Ativo</t>
        </is>
      </c>
      <c r="F203" t="inlineStr">
        <is>
          <t>restação de serviços de desenvolvimento de sistemas de informação, serviço de acesso, consultoria/assessoria e produção de repositórios e armazéns de dados (DataWarehouse) do Governo de Estado TC: 018</t>
        </is>
      </c>
    </row>
    <row r="204">
      <c r="A204" t="inlineStr">
        <is>
          <t>2023NE0001772</t>
        </is>
      </c>
      <c r="B204" t="inlineStr">
        <is>
          <t>54/2018</t>
        </is>
      </c>
      <c r="C204" t="inlineStr">
        <is>
          <t>17/05/2023</t>
        </is>
      </c>
      <c r="D204" t="n">
        <v>292024.7</v>
      </c>
      <c r="E204" t="inlineStr">
        <is>
          <t>Ativo</t>
        </is>
      </c>
      <c r="F204" t="inlineStr">
        <is>
          <t>Prestação de Serviços PRODAM-RH visando manter o cadastro servidores e folha de pagamento de pessoal, processar folha de pagamento e fornecer relatórios para efetivação de pagamento TC: 054/2018 AD: 0</t>
        </is>
      </c>
    </row>
    <row r="205">
      <c r="A205" t="inlineStr">
        <is>
          <t>2023NE0001765</t>
        </is>
      </c>
      <c r="B205" t="inlineStr">
        <is>
          <t>21/2021</t>
        </is>
      </c>
      <c r="C205" t="inlineStr">
        <is>
          <t>17/05/2023</t>
        </is>
      </c>
      <c r="D205" t="n">
        <v>650735.9399999999</v>
      </c>
      <c r="E205" t="inlineStr">
        <is>
          <t>Ativo</t>
        </is>
      </c>
      <c r="F205" t="inlineStr">
        <is>
          <t>serviços de fornecimento de circuito de transmissão de dados com link ponto a ponto entre as unidades da SES-AM TC: 021/2021 AD: 01.</t>
        </is>
      </c>
    </row>
    <row r="206">
      <c r="A206" t="inlineStr">
        <is>
          <t>2019NE01422</t>
        </is>
      </c>
      <c r="B206" t="inlineStr"/>
      <c r="C206" t="inlineStr">
        <is>
          <t>17/05/2019</t>
        </is>
      </c>
      <c r="D206" t="n">
        <v>292752.87</v>
      </c>
      <c r="E206" t="inlineStr">
        <is>
          <t>Ativo</t>
        </is>
      </c>
      <c r="F206" t="inlineStr">
        <is>
          <t>REFORÇO</t>
        </is>
      </c>
    </row>
    <row r="207">
      <c r="A207" t="inlineStr">
        <is>
          <t>2026NE0001125</t>
        </is>
      </c>
      <c r="B207" t="inlineStr">
        <is>
          <t>2/2015</t>
        </is>
      </c>
      <c r="C207" t="inlineStr">
        <is>
          <t>17/03/2026</t>
        </is>
      </c>
      <c r="D207" t="n">
        <v>285858.38</v>
      </c>
      <c r="E207" t="inlineStr">
        <is>
          <t>Ativo</t>
        </is>
      </c>
      <c r="F207" t="inlineStr">
        <is>
          <t>Contratação da prestação de serviço de hospedagem de servidores em ambiente de máquinas virtuais em nuvem, a fim de atender às necessidades de Tecnologia da Informação da Secretaria de Saúde. TC: 0002</t>
        </is>
      </c>
    </row>
    <row r="208">
      <c r="A208" t="inlineStr">
        <is>
          <t>2026NE0001126</t>
        </is>
      </c>
      <c r="B208" t="inlineStr"/>
      <c r="C208" t="inlineStr">
        <is>
          <t>17/03/2026</t>
        </is>
      </c>
      <c r="D208" t="n">
        <v>154015.81</v>
      </c>
      <c r="E208" t="inlineStr">
        <is>
          <t>Ativo</t>
        </is>
      </c>
      <c r="F208">
        <f>SEM COBERTURA CONTRATUAL;=SERVIÇO DE HOSPEDAGEM DE SISTREMA, MANUTENÇÃO EVOLUTIVA E CONSULTORIA;=LOCAL: SES-AM ;=PERÍODO: FEVEREIRO /2017;=PARECER NORMATIVO Nº 068/2019-PA/PGE DE 24/06/2019</f>
        <v/>
      </c>
    </row>
    <row r="209">
      <c r="A209" t="inlineStr">
        <is>
          <t>2026NE0001130</t>
        </is>
      </c>
      <c r="B209" t="inlineStr">
        <is>
          <t>54/2018</t>
        </is>
      </c>
      <c r="C209" t="inlineStr">
        <is>
          <t>17/03/2026</t>
        </is>
      </c>
      <c r="D209" t="n">
        <v>81848.55</v>
      </c>
      <c r="E209" t="inlineStr">
        <is>
          <t>Ativo</t>
        </is>
      </c>
      <c r="F209">
        <f>SEM COBERTURA CONTRATUAL;=SISTEMA DE RECURSOS HUMANOS PARA FOLHA DE PAGAMENTO;=LOCAL: SUSAM AM ; =PERÍODO: FEVEREIRO /2018; =PARECER Nº 2044/2018 -ASJUR</f>
        <v/>
      </c>
    </row>
    <row r="210">
      <c r="A210" t="inlineStr">
        <is>
          <t>2025NE0008182</t>
        </is>
      </c>
      <c r="B210" t="inlineStr">
        <is>
          <t>21/2021</t>
        </is>
      </c>
      <c r="C210" t="inlineStr">
        <is>
          <t>16/12/2025</t>
        </is>
      </c>
      <c r="D210" t="n">
        <v>281933.72</v>
      </c>
      <c r="E210" t="inlineStr">
        <is>
          <t>Ativo</t>
        </is>
      </c>
      <c r="F210">
        <f>DESPESA SEM COBERTURA CONTRATUAL;=PRESTAÇÃO DE SERVIÇOS DE FIREWALL, ACESSO GERENCIADO À REDE MUNDIAL, FORNECIMENTO DE CIRCUITO DE TRANSMISSÃO DE DADOS; =SUSAM SEDE E DEMAIS UNIDADES DE SAÚDE; =PERÍO</f>
        <v/>
      </c>
    </row>
    <row r="211">
      <c r="A211" t="inlineStr">
        <is>
          <t>2020NE04489</t>
        </is>
      </c>
      <c r="B211" t="inlineStr"/>
      <c r="C211" t="inlineStr">
        <is>
          <t>16/12/2020</t>
        </is>
      </c>
      <c r="D211" t="n">
        <v>281933.72</v>
      </c>
      <c r="E211" t="inlineStr">
        <is>
          <t>Ativo</t>
        </is>
      </c>
      <c r="F211">
        <f>RI: 2020RI00627; =SEM COBERTURA CONTRATUAL; =SERVIÇOS DE FIREWALL, TRANSMISSÃO DE DADOS, ACESSO À REDE MUNDIAL; =DIVERSAS UNIDADES; =PERÍODO: 01 A 31/08/2020.</f>
        <v/>
      </c>
    </row>
    <row r="212">
      <c r="A212" t="inlineStr">
        <is>
          <t>2024NE0005216</t>
        </is>
      </c>
      <c r="B212" t="inlineStr"/>
      <c r="C212" t="inlineStr">
        <is>
          <t>16/10/2024</t>
        </is>
      </c>
      <c r="D212" t="n">
        <v>51077.24</v>
      </c>
      <c r="E212" t="inlineStr">
        <is>
          <t>Ativo</t>
        </is>
      </c>
      <c r="F212">
        <f>ANULAÇÃO PARCIAL NE 0054/24 =MOTIVO: SALDO DE EMPENHO</f>
        <v/>
      </c>
    </row>
    <row r="213">
      <c r="A213" t="inlineStr">
        <is>
          <t>2024NE0005214</t>
        </is>
      </c>
      <c r="B213" t="inlineStr"/>
      <c r="C213" t="inlineStr">
        <is>
          <t>16/10/2024</t>
        </is>
      </c>
      <c r="D213" t="n">
        <v>78160.91</v>
      </c>
      <c r="E213" t="inlineStr">
        <is>
          <t>Ativo</t>
        </is>
      </c>
      <c r="F213">
        <f>ANULAÇÃO PARCIAL NE 2488/24 =MOTIVO: SALDO DE EMPENHO</f>
        <v/>
      </c>
    </row>
    <row r="214">
      <c r="A214" t="inlineStr">
        <is>
          <t>2022NE0003177</t>
        </is>
      </c>
      <c r="B214" t="inlineStr">
        <is>
          <t>21/2021</t>
        </is>
      </c>
      <c r="C214" t="inlineStr">
        <is>
          <t>16/08/2022</t>
        </is>
      </c>
      <c r="D214" t="n">
        <v>186141.36</v>
      </c>
      <c r="E214" t="inlineStr">
        <is>
          <t>Ativo</t>
        </is>
      </c>
      <c r="F214" t="inlineStr">
        <is>
          <t>serviços de fornecimento de circuito de transmissão de dados com link ponto a ponto entre as unidades da SES-AM, SES-AM e a PRODAM.</t>
        </is>
      </c>
    </row>
    <row r="215">
      <c r="A215" t="inlineStr">
        <is>
          <t>2022NE0003178</t>
        </is>
      </c>
      <c r="B215" t="inlineStr">
        <is>
          <t>21/2021</t>
        </is>
      </c>
      <c r="C215" t="inlineStr">
        <is>
          <t>16/08/2022</t>
        </is>
      </c>
      <c r="D215" t="n">
        <v>30770.62</v>
      </c>
      <c r="E215" t="inlineStr">
        <is>
          <t>Ativo</t>
        </is>
      </c>
      <c r="F215" t="inlineStr">
        <is>
          <t>serviços de fornecimento de circuito de transmissão de dados com link ponto a ponto entre as unidades da SES-AM, SES-AM e a PRODAM.</t>
        </is>
      </c>
    </row>
    <row r="216">
      <c r="A216" t="inlineStr">
        <is>
          <t>2022NE0003156</t>
        </is>
      </c>
      <c r="B216" t="inlineStr"/>
      <c r="C216" t="inlineStr">
        <is>
          <t>16/08/2022</t>
        </is>
      </c>
      <c r="D216" t="n">
        <v>239997.99</v>
      </c>
      <c r="E216" t="inlineStr">
        <is>
          <t>Ativo</t>
        </is>
      </c>
      <c r="F216">
        <f>RECONHECIMENTO DE DIVIDA;=SEM COBERTURA CONTRATUAL;=PRESTAÇÃO DE SERVIÇOS DE ACESSO GERENCIADO A REDE MUNDIAL POR MPBS, ACESSO A METROMAO, FORNECIMENTO DE CIRCUITO DE TRANSMISSÃO DE DADOS, GESTÃO DE </f>
        <v/>
      </c>
    </row>
    <row r="217">
      <c r="A217" t="inlineStr">
        <is>
          <t>2015NE01708</t>
        </is>
      </c>
      <c r="B217" t="inlineStr">
        <is>
          <t>116/2013</t>
        </is>
      </c>
      <c r="C217" t="inlineStr">
        <is>
          <t>16/04/2015</t>
        </is>
      </c>
      <c r="D217" t="n">
        <v>219646</v>
      </c>
      <c r="E217" t="inlineStr">
        <is>
          <t>Ativo</t>
        </is>
      </c>
      <c r="F217">
        <f>REFORÇO DA NOTA DE EMPENHO N° 316/2015.</f>
        <v/>
      </c>
    </row>
    <row r="218">
      <c r="A218" t="inlineStr">
        <is>
          <t>2015NE01706</t>
        </is>
      </c>
      <c r="B218" t="inlineStr">
        <is>
          <t>2/2015</t>
        </is>
      </c>
      <c r="C218" t="inlineStr">
        <is>
          <t>16/04/2015</t>
        </is>
      </c>
      <c r="D218" t="n">
        <v>335861.68</v>
      </c>
      <c r="E218" t="inlineStr">
        <is>
          <t>Ativo</t>
        </is>
      </c>
      <c r="F218">
        <f>REFORÇO DA NOTA DE EMPENHO N° 511/2015.</f>
        <v/>
      </c>
    </row>
    <row r="219">
      <c r="A219" t="inlineStr">
        <is>
          <t>2026NE0001076</t>
        </is>
      </c>
      <c r="B219" t="inlineStr">
        <is>
          <t>2/2015</t>
        </is>
      </c>
      <c r="C219" t="inlineStr">
        <is>
          <t>16/03/2026</t>
        </is>
      </c>
      <c r="D219" t="n">
        <v>249802.28</v>
      </c>
      <c r="E219" t="inlineStr">
        <is>
          <t>Ativo</t>
        </is>
      </c>
      <c r="F219">
        <f>TERCEIRO TERMO ADITIVO AO CONTRATO 002/2015;=VIGÊNCIA: 05/01/2017 A 04/01/2018 =PRESTAÇÃO DE SERVIÇOS DE FORECIMENTO DE CIRCUITO DE TRANSMISSÃO DE DADOS. =LOCAL: SES/AM; =PERIODO: SETEMBRO/2017</f>
        <v/>
      </c>
    </row>
    <row r="220">
      <c r="A220" t="inlineStr">
        <is>
          <t>2026NE0001075</t>
        </is>
      </c>
      <c r="B220" t="inlineStr">
        <is>
          <t>116/2013</t>
        </is>
      </c>
      <c r="C220" t="inlineStr">
        <is>
          <t>16/03/2026</t>
        </is>
      </c>
      <c r="D220" t="n">
        <v>106954.98</v>
      </c>
      <c r="E220" t="inlineStr">
        <is>
          <t>Ativo</t>
        </is>
      </c>
      <c r="F220">
        <f>3º TERMO ADITIVO AO CONTRATO Nº 116/2013=VIGÊNCIA:01/08/2015 A 31/07/2016;=SUPORTE TÉCNICO AO SISTEMA GESTÃO DE REDE PUBLICA DE SAÚDE - SGRPS=UNIDADES DE SAÚDE/SES-AM.=PERIODO: AGOSTO /2016</f>
        <v/>
      </c>
    </row>
    <row r="221">
      <c r="A221" t="inlineStr">
        <is>
          <t>2026NE0001079</t>
        </is>
      </c>
      <c r="B221" t="inlineStr">
        <is>
          <t>55/2018</t>
        </is>
      </c>
      <c r="C221" t="inlineStr">
        <is>
          <t>16/03/2026</t>
        </is>
      </c>
      <c r="D221" t="n">
        <v>154015.81</v>
      </c>
      <c r="E221" t="inlineStr">
        <is>
          <t>Ativo</t>
        </is>
      </c>
      <c r="F221">
        <f>SEM COBERTURA CONTRATUAL=SISTEMA HYGIA, SUSAM - SEDE=PERÍODO ABRIL /2017 = PARECER Nº 2268/2017 - ASJUR</f>
        <v/>
      </c>
    </row>
    <row r="222">
      <c r="A222" t="inlineStr">
        <is>
          <t>2016NE00880</t>
        </is>
      </c>
      <c r="B222" t="inlineStr">
        <is>
          <t>81/2010</t>
        </is>
      </c>
      <c r="C222" t="inlineStr">
        <is>
          <t>16/03/2016</t>
        </is>
      </c>
      <c r="D222" t="n">
        <v>209769.6</v>
      </c>
      <c r="E222" t="inlineStr">
        <is>
          <t>Ativo</t>
        </is>
      </c>
      <c r="F222">
        <f>QUINTO TERMO ADITIVO AO CONTRATO 081/10</f>
        <v/>
      </c>
    </row>
    <row r="223">
      <c r="A223" t="inlineStr">
        <is>
          <t>2022NE0000645</t>
        </is>
      </c>
      <c r="B223" t="inlineStr"/>
      <c r="C223" t="inlineStr">
        <is>
          <t>15/03/2022</t>
        </is>
      </c>
      <c r="D223" t="n">
        <v>245797.49</v>
      </c>
      <c r="E223" t="inlineStr">
        <is>
          <t>Ativo</t>
        </is>
      </c>
      <c r="F223">
        <f>RECONHECIMENTO DE DÍVIDA;=SERVIÇO DE ACESSO GERENCIADO A REDE MUNDIAL POR MPBS, ACESSO A METROMAO, FORNECIMENTO DE CIRCUITO DE TRANSMISSÃO DE DADOS;=REDE SES/AM; =PERÍODO: ABRIL/2021</f>
        <v/>
      </c>
    </row>
    <row r="224">
      <c r="A224" t="inlineStr">
        <is>
          <t>2022NE0005676</t>
        </is>
      </c>
      <c r="B224" t="inlineStr">
        <is>
          <t>18/2021</t>
        </is>
      </c>
      <c r="C224" t="inlineStr">
        <is>
          <t>14/12/2022</t>
        </is>
      </c>
      <c r="D224" t="n">
        <v>140978.48</v>
      </c>
      <c r="E224" t="inlineStr">
        <is>
          <t>Ativo</t>
        </is>
      </c>
      <c r="F224">
        <f>REFORÇO DA NE 123/22 AO CONTRATO Nº 018/2021</f>
        <v/>
      </c>
    </row>
    <row r="225">
      <c r="A225" t="inlineStr">
        <is>
          <t>2017NE03730</t>
        </is>
      </c>
      <c r="B225" t="inlineStr">
        <is>
          <t>P.248/2016</t>
        </is>
      </c>
      <c r="C225" t="inlineStr">
        <is>
          <t>14/12/2017</t>
        </is>
      </c>
      <c r="D225" t="n">
        <v>154015.81</v>
      </c>
      <c r="E225" t="inlineStr">
        <is>
          <t>Ativo</t>
        </is>
      </c>
      <c r="F225">
        <f>REFERENTE AOS SERVIÇOS DO SISTEMA HYGIA; =SEM COBERTURA CONTRATUAL; =PARECER Nº 2263/2017 ASJUR =LOCAL: SUSAM - SEDE; =PERÍODO: JANEIRO/2017 =NOTA FISCAL Nº 21746, 21747 E 21748/2017 =RI Nº 42, 49 E </f>
        <v/>
      </c>
    </row>
    <row r="226">
      <c r="A226" t="inlineStr">
        <is>
          <t>2017NE03731</t>
        </is>
      </c>
      <c r="B226" t="inlineStr">
        <is>
          <t>P.125/2016</t>
        </is>
      </c>
      <c r="C226" t="inlineStr">
        <is>
          <t>14/12/2017</t>
        </is>
      </c>
      <c r="D226" t="n">
        <v>95634.05</v>
      </c>
      <c r="E226" t="inlineStr">
        <is>
          <t>Ativo</t>
        </is>
      </c>
      <c r="F226">
        <f>REFERENTE AOS SERVIÇOS DE SISTEMA DE RECURSOS HUMANOS E FOLHA; =SEM COBERTURA CONTRATUAL; =LOCAL: SUSAM - SEDE; =NOTA FISCAL Nº 21745/2017 =PERÍODO: JANEIRO/2017 =PARECER Nº 3654/2017 =RI Nº 110/2017</f>
        <v/>
      </c>
    </row>
    <row r="227">
      <c r="A227" t="inlineStr">
        <is>
          <t>2017NE03655</t>
        </is>
      </c>
      <c r="B227" t="inlineStr">
        <is>
          <t>2/2015</t>
        </is>
      </c>
      <c r="C227" t="inlineStr">
        <is>
          <t>14/12/2017</t>
        </is>
      </c>
      <c r="D227" t="n">
        <v>292343.68</v>
      </c>
      <c r="E227" t="inlineStr">
        <is>
          <t>Ativo</t>
        </is>
      </c>
      <c r="F227" t="inlineStr">
        <is>
          <t>CONTRATAÇÃO DOS SERVIÇOS DE INFORMÁTICA COMUNICAÇÃO DE DADOS E REDES</t>
        </is>
      </c>
    </row>
    <row r="228">
      <c r="A228" t="inlineStr">
        <is>
          <t>2025NE0006938</t>
        </is>
      </c>
      <c r="B228" t="inlineStr">
        <is>
          <t>21/2021</t>
        </is>
      </c>
      <c r="C228" t="inlineStr">
        <is>
          <t>14/11/2025</t>
        </is>
      </c>
      <c r="D228" t="n">
        <v>276606.89</v>
      </c>
      <c r="E228" t="inlineStr">
        <is>
          <t>Ativo</t>
        </is>
      </c>
      <c r="F228">
        <f>TERMO DE CONTRATO N. 021/2021;=VIGÊNCIA DO TERMO: 12/08/2021 A 11/08/2022; =FORNECIMENTO DE CIRCUITO DE TRANSMISSÃO DE DADOS COM LINK PONTO A PONTO, ACESSO GERENCIADO À REDE MUNDIAL, SERVIÇO DE MANUT</f>
        <v/>
      </c>
    </row>
    <row r="229">
      <c r="A229" t="inlineStr">
        <is>
          <t>2025NE0006951</t>
        </is>
      </c>
      <c r="B229" t="inlineStr">
        <is>
          <t>54/2018</t>
        </is>
      </c>
      <c r="C229" t="inlineStr">
        <is>
          <t>14/11/2025</t>
        </is>
      </c>
      <c r="D229" t="n">
        <v>146012.35</v>
      </c>
      <c r="E229" t="inlineStr">
        <is>
          <t>Ativo</t>
        </is>
      </c>
      <c r="F229">
        <f>QUARTO TERMO ADITIVO AO CONTRATO Nº 054/2018, VIGÊNCIA 09/07/2022 A 08/07/2023;=SERVIÇOS PRODAM-RH VISANDO MANTER O CADASTRO SERVIDORES E FOLHA DE PAGAMENTO DE PESSOAL, PROCESSAR FOLHA DE PAGAMENTO E</f>
        <v/>
      </c>
    </row>
    <row r="230">
      <c r="A230" t="inlineStr">
        <is>
          <t>2025NE0006950</t>
        </is>
      </c>
      <c r="B230" t="inlineStr">
        <is>
          <t>21/2021</t>
        </is>
      </c>
      <c r="C230" t="inlineStr">
        <is>
          <t>14/11/2025</t>
        </is>
      </c>
      <c r="D230" t="n">
        <v>316853.75</v>
      </c>
      <c r="E230" t="inlineStr">
        <is>
          <t>Ativo</t>
        </is>
      </c>
      <c r="F230">
        <f>PRIMEIRO TERMO ADITIVO AO CONTRATO Nº 021/2021, =VIGÊNCIA 12/08/2022 A 11/08/2023; =SERVIÇOS DE ACESSO GERENCIADO A REDE MUNDIAL,GESTÃO DE SEGURANÇA E ATIVOS DE REDE PACOTE ESSENCIAL, FORNECIMENTO DE</f>
        <v/>
      </c>
    </row>
    <row r="231">
      <c r="A231" t="inlineStr">
        <is>
          <t>2025NE0006939</t>
        </is>
      </c>
      <c r="B231" t="inlineStr">
        <is>
          <t>21/2021</t>
        </is>
      </c>
      <c r="C231" t="inlineStr">
        <is>
          <t>14/11/2025</t>
        </is>
      </c>
      <c r="D231" t="n">
        <v>316853.75</v>
      </c>
      <c r="E231" t="inlineStr">
        <is>
          <t>Ativo</t>
        </is>
      </c>
      <c r="F231">
        <f>PRIMEIRO TERMO ADITIVO AO CONTRATO N. 021/2021;=VIGÊNCIA DO TERMO: 12/08/2022 A 11/08/2023; =FORNECIMENTO DE CIRCUITO DE TRANSMISSÃO DE DADOS COM LINK PONTO A PONTO, ACESSO GERENCIADO À REDE MUNDIAL,</f>
        <v/>
      </c>
    </row>
    <row r="232">
      <c r="A232" t="inlineStr">
        <is>
          <t>2025NE0006897</t>
        </is>
      </c>
      <c r="B232" t="inlineStr">
        <is>
          <t>54/2018</t>
        </is>
      </c>
      <c r="C232" t="inlineStr">
        <is>
          <t>14/11/2025</t>
        </is>
      </c>
      <c r="D232" t="n">
        <v>109527.68</v>
      </c>
      <c r="E232" t="inlineStr">
        <is>
          <t>Ativo</t>
        </is>
      </c>
      <c r="F232">
        <f>CONTRATO 054/2018 - 5º TA;=VIGÊNCIA: 09/07/2023 a 08/07/2024 =SERVIÇO: PRESTAÇÃO E SERVIÇOS PRODAM-RH; =LOCAL : SES-AM; =PERÍODO: DEZEMBRO DE 2023;</f>
        <v/>
      </c>
    </row>
    <row r="233">
      <c r="A233" t="inlineStr">
        <is>
          <t>2025NE0006952</t>
        </is>
      </c>
      <c r="B233" t="inlineStr">
        <is>
          <t>18/2021</t>
        </is>
      </c>
      <c r="C233" t="inlineStr">
        <is>
          <t>14/11/2025</t>
        </is>
      </c>
      <c r="D233" t="n">
        <v>478347.33</v>
      </c>
      <c r="E233" t="inlineStr">
        <is>
          <t>Ativo</t>
        </is>
      </c>
      <c r="F233">
        <f>PRIMEIRO TERMO ADITIVO AO CONTRATO Nº 018/2021, VIGÊNCIA 14/06/2022 A 13/06/2023;=SERVIÇO EM ARMAZÉM DE INFORMAÇÕES CONSULTORIA EM ARMAZÉM DE INFORMAÇÃO;=SES/AM; =PERÍODO: DEZEMBRO/2022</f>
        <v/>
      </c>
    </row>
    <row r="234">
      <c r="A234" t="inlineStr">
        <is>
          <t>2025NE0006940</t>
        </is>
      </c>
      <c r="B234" t="inlineStr">
        <is>
          <t>54/2018</t>
        </is>
      </c>
      <c r="C234" t="inlineStr">
        <is>
          <t>14/11/2025</t>
        </is>
      </c>
      <c r="D234" t="n">
        <v>131871.28</v>
      </c>
      <c r="E234" t="inlineStr">
        <is>
          <t>Ativo</t>
        </is>
      </c>
      <c r="F234">
        <f>3º TERMO ADITIVO AO CONTRATO N. 054/18;=VIGÊNCIA: 09/07/2021 A 08/07/2022; =PRESTAÇÃO DE SERVIÇOS DE EXECUÇÃO DE SISTEMAS - SIST. DE RECURSOS HUMANOS E FOLHA; =PERÍODO: DEZEMBRO/2021.</f>
        <v/>
      </c>
    </row>
    <row r="235">
      <c r="A235" t="inlineStr">
        <is>
          <t>2025NE0006947</t>
        </is>
      </c>
      <c r="B235" t="inlineStr">
        <is>
          <t>18/2021</t>
        </is>
      </c>
      <c r="C235" t="inlineStr">
        <is>
          <t>14/11/2025</t>
        </is>
      </c>
      <c r="D235" t="n">
        <v>510171.69</v>
      </c>
      <c r="E235" t="inlineStr">
        <is>
          <t>Ativo</t>
        </is>
      </c>
      <c r="F235">
        <f>PRIMEIRO TERMO ADITIVO AO CONTRATO Nº 018/2021, VIGÊNCIA 14/06/2022 A 13/06/2023;=SERVIÇO EM ARMAZEM DE INFORMAÇÕES CONSULTORIA EM ARMAZEM DE INFORMAÇÃO; =SES/AM; =PERÍODO: NOVEMBRO/2022</f>
        <v/>
      </c>
    </row>
    <row r="236">
      <c r="A236" t="inlineStr">
        <is>
          <t>2025NE0006948</t>
        </is>
      </c>
      <c r="B236" t="inlineStr">
        <is>
          <t>18/2021</t>
        </is>
      </c>
      <c r="C236" t="inlineStr">
        <is>
          <t>14/11/2025</t>
        </is>
      </c>
      <c r="D236" t="n">
        <v>240960.18</v>
      </c>
      <c r="E236" t="inlineStr">
        <is>
          <t>Ativo</t>
        </is>
      </c>
      <c r="F236">
        <f>TERMO DE CONTRATO N. 018/2021;=VIGÊNCIA DO TERMO: 14/06/2021 A 13/06/2021; =SERVICO DE DESENVOLVIMENTO DE INFORMACAO, SERVICO DE ACESSO,CONSULTORIA/ASSESSEORIA E PRODUCAO DE REPOSITORIOS E ARMAZENS D</f>
        <v/>
      </c>
    </row>
    <row r="237">
      <c r="A237" t="inlineStr">
        <is>
          <t>2023NE0004900</t>
        </is>
      </c>
      <c r="B237" t="inlineStr"/>
      <c r="C237" t="inlineStr">
        <is>
          <t>14/11/2023</t>
        </is>
      </c>
      <c r="D237" t="n">
        <v>21282.52</v>
      </c>
      <c r="E237" t="inlineStr">
        <is>
          <t>Ativo</t>
        </is>
      </c>
      <c r="F237" t="inlineStr">
        <is>
          <t>ANULAÇÃO PARCIAL DA NOTA DE EMPENHO MOTIVO: SALDO DE EMPENHO</t>
        </is>
      </c>
    </row>
    <row r="238">
      <c r="A238" t="inlineStr">
        <is>
          <t>2023NE0004972</t>
        </is>
      </c>
      <c r="B238" t="inlineStr"/>
      <c r="C238" t="inlineStr">
        <is>
          <t>14/11/2023</t>
        </is>
      </c>
      <c r="D238" t="n">
        <v>24324.53</v>
      </c>
      <c r="E238" t="inlineStr">
        <is>
          <t>Ativo</t>
        </is>
      </c>
      <c r="F238" t="inlineStr">
        <is>
          <t>ANULAÇÃO PARCIAL DA NOTA DE EMPENHO MOTIVO: SALDO DE EMPENHO</t>
        </is>
      </c>
    </row>
    <row r="239">
      <c r="A239" t="inlineStr">
        <is>
          <t>2023NE0004889</t>
        </is>
      </c>
      <c r="B239" t="inlineStr"/>
      <c r="C239" t="inlineStr">
        <is>
          <t>14/11/2023</t>
        </is>
      </c>
      <c r="D239" t="n">
        <v>115776.19</v>
      </c>
      <c r="E239" t="inlineStr">
        <is>
          <t>Ativo</t>
        </is>
      </c>
      <c r="F239" t="inlineStr">
        <is>
          <t>ANULAÇÃO PARCIAL DA NOTA DE EMPENHO MOTIVO: SALDO DE EMPENHO</t>
        </is>
      </c>
    </row>
    <row r="240">
      <c r="A240" t="inlineStr">
        <is>
          <t>2023NE0004892</t>
        </is>
      </c>
      <c r="B240" t="inlineStr"/>
      <c r="C240" t="inlineStr">
        <is>
          <t>14/11/2023</t>
        </is>
      </c>
      <c r="D240" t="n">
        <v>161406.31</v>
      </c>
      <c r="E240" t="inlineStr">
        <is>
          <t>Ativo</t>
        </is>
      </c>
      <c r="F240" t="inlineStr">
        <is>
          <t>ANULAÇÃO PARCIAL DA NOTA DE EMPENHO MOTIVO: SALDO DE EMPENHO</t>
        </is>
      </c>
    </row>
    <row r="241">
      <c r="A241" t="inlineStr">
        <is>
          <t>2023NE0004896</t>
        </is>
      </c>
      <c r="B241" t="inlineStr"/>
      <c r="C241" t="inlineStr">
        <is>
          <t>14/11/2023</t>
        </is>
      </c>
      <c r="D241" t="n">
        <v>21282.52</v>
      </c>
      <c r="E241" t="inlineStr">
        <is>
          <t>Ativo</t>
        </is>
      </c>
      <c r="F241" t="inlineStr">
        <is>
          <t>ANULAÇÃO PARCIAL DA NOTA DE EMPENHO MOTIVO: SALDO DE EMPENHO</t>
        </is>
      </c>
    </row>
    <row r="242">
      <c r="A242" t="inlineStr">
        <is>
          <t>2021NE0003662</t>
        </is>
      </c>
      <c r="B242" t="inlineStr">
        <is>
          <t>21/2021</t>
        </is>
      </c>
      <c r="C242" t="inlineStr">
        <is>
          <t>14/10/2021</t>
        </is>
      </c>
      <c r="D242" t="n">
        <v>293907.41</v>
      </c>
      <c r="E242" t="inlineStr">
        <is>
          <t>Ativo</t>
        </is>
      </c>
      <c r="F242">
        <f>REFORÇO DA NE 2636 AO TERMO DE CONTRATO DE PRESTAÇÃO DE SERVIÇOS DE INFORMÁTICA Nº 021/2021 SES-AM,</f>
        <v/>
      </c>
    </row>
    <row r="243">
      <c r="A243" t="inlineStr">
        <is>
          <t>2023NE0003845</t>
        </is>
      </c>
      <c r="B243" t="inlineStr"/>
      <c r="C243" t="inlineStr">
        <is>
          <t>14/09/2023</t>
        </is>
      </c>
      <c r="D243" t="n">
        <v>39590.28</v>
      </c>
      <c r="E243" t="inlineStr">
        <is>
          <t>Ativo</t>
        </is>
      </c>
      <c r="F243">
        <f>ANULAÇÃO TOTAL =MOTIVO SALDO DE EMPENHO</f>
        <v/>
      </c>
    </row>
    <row r="244">
      <c r="A244" t="inlineStr">
        <is>
          <t>2023NE0003846</t>
        </is>
      </c>
      <c r="B244" t="inlineStr"/>
      <c r="C244" t="inlineStr">
        <is>
          <t>14/09/2023</t>
        </is>
      </c>
      <c r="D244" t="n">
        <v>315204.13</v>
      </c>
      <c r="E244" t="inlineStr">
        <is>
          <t>Ativo</t>
        </is>
      </c>
      <c r="F244">
        <f>ANULAÇÃO TOTAL =MOTIVO SALDO DE EMPENHO</f>
        <v/>
      </c>
    </row>
    <row r="245">
      <c r="A245" t="inlineStr">
        <is>
          <t>2023NE0003847</t>
        </is>
      </c>
      <c r="B245" t="inlineStr"/>
      <c r="C245" t="inlineStr">
        <is>
          <t>14/09/2023</t>
        </is>
      </c>
      <c r="D245" t="n">
        <v>57780.01</v>
      </c>
      <c r="E245" t="inlineStr">
        <is>
          <t>Ativo</t>
        </is>
      </c>
      <c r="F245">
        <f>ANULAÇÃO TOTAL =MOTIVO SALDO DE EMPENHO</f>
        <v/>
      </c>
    </row>
    <row r="246">
      <c r="A246" t="inlineStr">
        <is>
          <t>2023NE0003854</t>
        </is>
      </c>
      <c r="B246" t="inlineStr"/>
      <c r="C246" t="inlineStr">
        <is>
          <t>14/09/2023</t>
        </is>
      </c>
      <c r="D246" t="n">
        <v>25540.64</v>
      </c>
      <c r="E246" t="inlineStr">
        <is>
          <t>Ativo</t>
        </is>
      </c>
      <c r="F246">
        <f>ANULAÇÃO TOTAL =MOTIVO SALDO DE EMPENHO</f>
        <v/>
      </c>
    </row>
    <row r="247">
      <c r="A247" t="inlineStr">
        <is>
          <t>2024NE0003045</t>
        </is>
      </c>
      <c r="B247" t="inlineStr">
        <is>
          <t>21/2021</t>
        </is>
      </c>
      <c r="C247" t="inlineStr">
        <is>
          <t>14/06/2024</t>
        </is>
      </c>
      <c r="D247" t="n">
        <v>325367.97</v>
      </c>
      <c r="E247" t="inlineStr">
        <is>
          <t>Ativo</t>
        </is>
      </c>
      <c r="F247" t="inlineStr">
        <is>
          <t>Contratação da prestação de serviços de fornecimento de circuito de transmissão de dados com link ponto a ponto entre as unidades da SES-AM TC: 0021/2021 AD: 02.</t>
        </is>
      </c>
    </row>
    <row r="248">
      <c r="A248" t="inlineStr">
        <is>
          <t>2024NE0003046</t>
        </is>
      </c>
      <c r="B248" t="inlineStr">
        <is>
          <t>54/2018</t>
        </is>
      </c>
      <c r="C248" t="inlineStr">
        <is>
          <t>14/06/2024</t>
        </is>
      </c>
      <c r="D248" t="n">
        <v>146012.35</v>
      </c>
      <c r="E248" t="inlineStr">
        <is>
          <t>Ativo</t>
        </is>
      </c>
      <c r="F248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249">
      <c r="A249" t="inlineStr">
        <is>
          <t>2024NE0003044</t>
        </is>
      </c>
      <c r="B249" t="inlineStr">
        <is>
          <t>5/2021</t>
        </is>
      </c>
      <c r="C249" t="inlineStr">
        <is>
          <t>14/06/2024</t>
        </is>
      </c>
      <c r="D249" t="n">
        <v>36112.42</v>
      </c>
      <c r="E249" t="inlineStr">
        <is>
          <t>Ativo</t>
        </is>
      </c>
      <c r="F249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250">
      <c r="A250" t="inlineStr">
        <is>
          <t>2021NE0001849</t>
        </is>
      </c>
      <c r="B250" t="inlineStr">
        <is>
          <t>18/2021</t>
        </is>
      </c>
      <c r="C250" t="inlineStr">
        <is>
          <t>14/06/2021</t>
        </is>
      </c>
      <c r="D250" t="n">
        <v>321860.89</v>
      </c>
      <c r="E250" t="inlineStr">
        <is>
          <t>Ativo</t>
        </is>
      </c>
      <c r="F250" t="inlineStr">
        <is>
          <t>Contratação de pessoa jurídica especializada em serviços de desenvolvimento de sistemas de informação, serviço de acesso, consultoria/assessoria e produção de repositórios e armazéns de dados (DataWar</t>
        </is>
      </c>
    </row>
    <row r="251">
      <c r="A251" t="inlineStr">
        <is>
          <t>2022NE0000618</t>
        </is>
      </c>
      <c r="B251" t="inlineStr"/>
      <c r="C251" t="inlineStr">
        <is>
          <t>14/03/2022</t>
        </is>
      </c>
      <c r="D251" t="n">
        <v>210996.57</v>
      </c>
      <c r="E251" t="inlineStr">
        <is>
          <t>Ativo</t>
        </is>
      </c>
      <c r="F251">
        <f>RECONHECIMENTO DE DIVIDA;=SEM COBERTURA CONTRATUAL;=PRESTAÇÃO DE SERVIÇOS DE ACESSO GERENCIADO A REDE MUNDIAL POR MPBS, ACESSO A METROMAO, FORNECIMENTO DE CIRCUITO DE TRANSMISSÃO DE DADOS; =REDE SES/</f>
        <v/>
      </c>
    </row>
    <row r="252">
      <c r="A252" t="inlineStr">
        <is>
          <t>2024NE0006846</t>
        </is>
      </c>
      <c r="B252" t="inlineStr">
        <is>
          <t>5/2021</t>
        </is>
      </c>
      <c r="C252" t="inlineStr">
        <is>
          <t>13/12/2024</t>
        </is>
      </c>
      <c r="D252" t="n">
        <v>108337.26</v>
      </c>
      <c r="E252" t="inlineStr">
        <is>
          <t>Ativo</t>
        </is>
      </c>
      <c r="F25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253">
      <c r="A253" t="inlineStr">
        <is>
          <t>2024NE0006845</t>
        </is>
      </c>
      <c r="B253" t="inlineStr">
        <is>
          <t>5/2021</t>
        </is>
      </c>
      <c r="C253" t="inlineStr">
        <is>
          <t>13/12/2024</t>
        </is>
      </c>
      <c r="D253" t="n">
        <v>72224.84</v>
      </c>
      <c r="E253" t="inlineStr">
        <is>
          <t>Ativo</t>
        </is>
      </c>
      <c r="F253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254">
      <c r="A254" t="inlineStr">
        <is>
          <t>2024NE0006847</t>
        </is>
      </c>
      <c r="B254" t="inlineStr">
        <is>
          <t>21/2021</t>
        </is>
      </c>
      <c r="C254" t="inlineStr">
        <is>
          <t>13/12/2024</t>
        </is>
      </c>
      <c r="D254" t="n">
        <v>108455.99</v>
      </c>
      <c r="E254" t="inlineStr">
        <is>
          <t>Ativo</t>
        </is>
      </c>
      <c r="F254" t="inlineStr">
        <is>
          <t>Contratação da prestação de serviços de fornecimento de circuito de transmissão de dados com link ponto a ponto entre as unidades da SES-AM TC: 0021/2021 AD: 02.</t>
        </is>
      </c>
    </row>
    <row r="255">
      <c r="A255" t="inlineStr">
        <is>
          <t>2024NE0006849</t>
        </is>
      </c>
      <c r="B255" t="inlineStr">
        <is>
          <t>21/2021</t>
        </is>
      </c>
      <c r="C255" t="inlineStr">
        <is>
          <t>13/12/2024</t>
        </is>
      </c>
      <c r="D255" t="n">
        <v>236117.27</v>
      </c>
      <c r="E255" t="inlineStr">
        <is>
          <t>Ativo</t>
        </is>
      </c>
      <c r="F255" t="inlineStr">
        <is>
          <t>Contratação da prestação de serviços de fornecimento de circuito de transmissão de dados com link ponto a ponto entre as unidades da SES-AM TC: 0021/2021 AD: 02.</t>
        </is>
      </c>
    </row>
    <row r="256">
      <c r="A256" t="inlineStr">
        <is>
          <t>2024NE0006848</t>
        </is>
      </c>
      <c r="B256" t="inlineStr">
        <is>
          <t>21/2021</t>
        </is>
      </c>
      <c r="C256" t="inlineStr">
        <is>
          <t>13/12/2024</t>
        </is>
      </c>
      <c r="D256" t="n">
        <v>89250.7</v>
      </c>
      <c r="E256" t="inlineStr">
        <is>
          <t>Ativo</t>
        </is>
      </c>
      <c r="F256" t="inlineStr">
        <is>
          <t>Contratação da prestação de serviços de fornecimento de circuito de transmissão de dados com link ponto a ponto entre as unidades da SES-AM TC: 0021/2021 AD: 02.</t>
        </is>
      </c>
    </row>
    <row r="257">
      <c r="A257" t="inlineStr">
        <is>
          <t>2024NE0006835</t>
        </is>
      </c>
      <c r="B257" t="inlineStr">
        <is>
          <t>21/2021</t>
        </is>
      </c>
      <c r="C257" t="inlineStr">
        <is>
          <t>13/12/2024</t>
        </is>
      </c>
      <c r="D257" t="n">
        <v>34840.28</v>
      </c>
      <c r="E257" t="inlineStr">
        <is>
          <t>Ativo</t>
        </is>
      </c>
      <c r="F257" t="inlineStr">
        <is>
          <t>Contratação da prestação de serviços de fornecimento de circuito de transmissão de dados com link ponto a ponto entre as unidades da SES-AM TC: 0021/2021 AD: 03.</t>
        </is>
      </c>
    </row>
    <row r="258">
      <c r="A258" t="inlineStr">
        <is>
          <t>2024NE0006832</t>
        </is>
      </c>
      <c r="B258" t="inlineStr">
        <is>
          <t>21/2021</t>
        </is>
      </c>
      <c r="C258" t="inlineStr">
        <is>
          <t>13/12/2024</t>
        </is>
      </c>
      <c r="D258" t="n">
        <v>215911.98</v>
      </c>
      <c r="E258" t="inlineStr">
        <is>
          <t>Ativo</t>
        </is>
      </c>
      <c r="F258" t="inlineStr">
        <is>
          <t>Contratação da prestação de serviços de fornecimento de circuito de transmissão de dados com link ponto a ponto entre as unidades da SES-AM TC: 0021/2021 AD: 03.</t>
        </is>
      </c>
    </row>
    <row r="259">
      <c r="A259" t="inlineStr">
        <is>
          <t>2022NE0005674</t>
        </is>
      </c>
      <c r="B259" t="inlineStr"/>
      <c r="C259" t="inlineStr">
        <is>
          <t>13/12/2022</t>
        </is>
      </c>
      <c r="D259" t="n">
        <v>140978.48</v>
      </c>
      <c r="E259" t="inlineStr">
        <is>
          <t>Ativo</t>
        </is>
      </c>
      <c r="F259">
        <f>ANULAÇÃO PARCIAL =MOTIVO?: SALDO DE EMPENHO</f>
        <v/>
      </c>
    </row>
    <row r="260">
      <c r="A260" t="inlineStr">
        <is>
          <t>2023NE0003580</t>
        </is>
      </c>
      <c r="B260" t="inlineStr">
        <is>
          <t>54/2018</t>
        </is>
      </c>
      <c r="C260" t="inlineStr">
        <is>
          <t>13/09/2023</t>
        </is>
      </c>
      <c r="D260" t="n">
        <v>146012.35</v>
      </c>
      <c r="E260" t="inlineStr">
        <is>
          <t>Ativo</t>
        </is>
      </c>
      <c r="F260" t="inlineStr">
        <is>
          <t>Prestação de Serviços PRODAM-RH visando manter o cadastro servidores e folha de pagamento de pessoal, processar folha de pagamento e fornecer relatórios para efetivação de pagamento TC: 054/2018 AD: 0</t>
        </is>
      </c>
    </row>
    <row r="261">
      <c r="A261" t="inlineStr">
        <is>
          <t>2023NE0003645</t>
        </is>
      </c>
      <c r="B261" t="inlineStr"/>
      <c r="C261" t="inlineStr">
        <is>
          <t>13/09/2023</t>
        </is>
      </c>
      <c r="D261" t="n">
        <v>42565.04</v>
      </c>
      <c r="E261" t="inlineStr">
        <is>
          <t>Ativo</t>
        </is>
      </c>
      <c r="F261" t="inlineStr">
        <is>
          <t>ANULAÇAO DA NOTA DE EMPENHO N. 1765/2023 MOTIVO: SALDO DE EMPENHO</t>
        </is>
      </c>
    </row>
    <row r="262">
      <c r="A262" t="inlineStr">
        <is>
          <t>2023NE0003646</t>
        </is>
      </c>
      <c r="B262" t="inlineStr"/>
      <c r="C262" t="inlineStr">
        <is>
          <t>13/09/2023</t>
        </is>
      </c>
      <c r="D262" t="n">
        <v>21282.52</v>
      </c>
      <c r="E262" t="inlineStr">
        <is>
          <t>Ativo</t>
        </is>
      </c>
      <c r="F262" t="inlineStr">
        <is>
          <t>ANULAÇAO PARCIAL DA NOTA DE EMPENHO N. 1765/2023 MOTIVO: SALDO DE EMPENHO</t>
        </is>
      </c>
    </row>
    <row r="263">
      <c r="A263" t="inlineStr">
        <is>
          <t>2023NE0002678</t>
        </is>
      </c>
      <c r="B263" t="inlineStr">
        <is>
          <t>5/2021</t>
        </is>
      </c>
      <c r="C263" t="inlineStr">
        <is>
          <t>13/07/2023</t>
        </is>
      </c>
      <c r="D263" t="n">
        <v>36112.42</v>
      </c>
      <c r="E263" t="inlineStr">
        <is>
          <t>Ativo</t>
        </is>
      </c>
      <c r="F263" t="inlineStr">
        <is>
          <t>Contratação da prestação de serviço de hospedagem de servidores em ambiente de máquinas virtuais em nuvem, a fim de atender às necessidades de Tecnologia da Informação da Secretaria de Saúde. TC: 005/</t>
        </is>
      </c>
    </row>
    <row r="264">
      <c r="A264" t="inlineStr">
        <is>
          <t>2023NE0002679</t>
        </is>
      </c>
      <c r="B264" t="inlineStr">
        <is>
          <t>21/2021</t>
        </is>
      </c>
      <c r="C264" t="inlineStr">
        <is>
          <t>13/07/2023</t>
        </is>
      </c>
      <c r="D264" t="n">
        <v>325367.97</v>
      </c>
      <c r="E264" t="inlineStr">
        <is>
          <t>Ativo</t>
        </is>
      </c>
      <c r="F264" t="inlineStr">
        <is>
          <t>serviços de fornecimento de circuito de transmissão de dados com link ponto a ponto entre as unidades da SES-AM TC: 021/2021 AD: 01.</t>
        </is>
      </c>
    </row>
    <row r="265">
      <c r="A265" t="inlineStr">
        <is>
          <t>2021NE0002261</t>
        </is>
      </c>
      <c r="B265" t="inlineStr"/>
      <c r="C265" t="inlineStr">
        <is>
          <t>13/07/2021</t>
        </is>
      </c>
      <c r="D265" t="n">
        <v>33906.15</v>
      </c>
      <c r="E265" t="inlineStr">
        <is>
          <t>Ativo</t>
        </is>
      </c>
      <c r="F265">
        <f>ANULAÇÃO PARCIAL DA NE 2175/2021 =MOTIVO: PARECER DESFAVORÁVEL AO ACRÉSCIMO CONFORME PARECER Nº 1.474/2021 ¿ ASJUR/SES-AM DE 08/07/2021 NA FL. 247.</f>
        <v/>
      </c>
    </row>
    <row r="266">
      <c r="A266" t="inlineStr">
        <is>
          <t>2025NE0003379</t>
        </is>
      </c>
      <c r="B266" t="inlineStr"/>
      <c r="C266" t="inlineStr">
        <is>
          <t>13/06/2025</t>
        </is>
      </c>
      <c r="D266" t="n">
        <v>1000</v>
      </c>
      <c r="E266" t="inlineStr">
        <is>
          <t>Ativo</t>
        </is>
      </c>
      <c r="F266" t="inlineStr">
        <is>
          <t>ANULAÇÃO PARCIAL SALDO DE EMPENHO</t>
        </is>
      </c>
    </row>
    <row r="267">
      <c r="A267" t="inlineStr">
        <is>
          <t>2025NE0003394</t>
        </is>
      </c>
      <c r="B267" t="inlineStr">
        <is>
          <t>18/2021</t>
        </is>
      </c>
      <c r="C267" t="inlineStr">
        <is>
          <t>13/06/2025</t>
        </is>
      </c>
      <c r="D267" t="n">
        <v>1000</v>
      </c>
      <c r="E267" t="inlineStr">
        <is>
          <t>Ativo</t>
        </is>
      </c>
      <c r="F267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68">
      <c r="A268" t="inlineStr">
        <is>
          <t>2024NE0003037</t>
        </is>
      </c>
      <c r="B268" t="inlineStr">
        <is>
          <t>18/2021</t>
        </is>
      </c>
      <c r="C268" t="inlineStr">
        <is>
          <t>13/06/2024</t>
        </is>
      </c>
      <c r="D268" t="n">
        <v>23000</v>
      </c>
      <c r="E268" t="inlineStr">
        <is>
          <t>Ativo</t>
        </is>
      </c>
      <c r="F268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69">
      <c r="A269" t="inlineStr">
        <is>
          <t>2026NE0001049</t>
        </is>
      </c>
      <c r="B269" t="inlineStr">
        <is>
          <t>116/2013</t>
        </is>
      </c>
      <c r="C269" t="inlineStr">
        <is>
          <t>13/03/2026</t>
        </is>
      </c>
      <c r="D269" t="n">
        <v>44445.37</v>
      </c>
      <c r="E269" t="inlineStr">
        <is>
          <t>Ativo</t>
        </is>
      </c>
      <c r="F269">
        <f>3º TERMO ADITIVO AO CONTRATO Nº 116/2013=VIGÊNCIA:01/08/2015 A 31/07/2016;=SUPORTE TÉCNICO AO SISTEMA GESTÃO DE REDE PUBLICA DE SAÚDE - SGRPS=UNIDADES DE SAÚDE/SES-AM.=PERIODO: AGOSTO /2016</f>
        <v/>
      </c>
    </row>
    <row r="270">
      <c r="A270" t="inlineStr">
        <is>
          <t>2026NE0001067</t>
        </is>
      </c>
      <c r="B270" t="inlineStr">
        <is>
          <t>116/2013</t>
        </is>
      </c>
      <c r="C270" t="inlineStr">
        <is>
          <t>13/03/2026</t>
        </is>
      </c>
      <c r="D270" t="n">
        <v>154015.78</v>
      </c>
      <c r="E270" t="inlineStr">
        <is>
          <t>Ativo</t>
        </is>
      </c>
      <c r="F270">
        <f>TERCEIRO TERMO ADITIVO AO CONTRATO 116/2013;=VIGÊNCIA: 01/08/2016 A 31/07/2017=SUPORTE TÉCNICO AO SISTEMA GESTÃO DE REDE PUBLICA DE SAÚDE - SGRPS =LOCAL: SEDE=PERIODO: SET/2016</f>
        <v/>
      </c>
    </row>
    <row r="271">
      <c r="A271" t="inlineStr">
        <is>
          <t>2026NE0001048</t>
        </is>
      </c>
      <c r="B271" t="inlineStr">
        <is>
          <t>55/2018</t>
        </is>
      </c>
      <c r="C271" t="inlineStr">
        <is>
          <t>13/03/2026</t>
        </is>
      </c>
      <c r="D271" t="n">
        <v>154015.81</v>
      </c>
      <c r="E271" t="inlineStr">
        <is>
          <t>Ativo</t>
        </is>
      </c>
      <c r="F271">
        <f>SEM COBERTURA CONTRATUAL;=SISTEMA HYGIA, SUSAM - SEDE;=LOCAL: SUSAM - SEDE =PERÍODO: MARÇO/2017; =PARECER Nº 2265/2017 - ASJUR Autorizo SECEXEC - 10/03/2026</f>
        <v/>
      </c>
    </row>
    <row r="272">
      <c r="A272" t="inlineStr">
        <is>
          <t>2026NE0001050</t>
        </is>
      </c>
      <c r="B272" t="inlineStr"/>
      <c r="C272" t="inlineStr">
        <is>
          <t>13/03/2026</t>
        </is>
      </c>
      <c r="D272" t="n">
        <v>154015.81</v>
      </c>
      <c r="E272" t="inlineStr">
        <is>
          <t>Ativo</t>
        </is>
      </c>
      <c r="F272">
        <f>SEM COBERTURA CONTRATUAL=SERVIÇO DE HOSPEDAGEM DE SISTEMAS, MANUTENÇÃO EVOLUTIVA E CONSULTORIA, =PERÍODO DE DEZEMBRO/2016 =PARECER Nº 2261/2017 - ASJUR =Autorizo SECEXEC - 10/03/2026</f>
        <v/>
      </c>
    </row>
    <row r="273">
      <c r="A273" t="inlineStr">
        <is>
          <t>2026NE0001043</t>
        </is>
      </c>
      <c r="B273" t="inlineStr">
        <is>
          <t>2/2015</t>
        </is>
      </c>
      <c r="C273" t="inlineStr">
        <is>
          <t>13/03/2026</t>
        </is>
      </c>
      <c r="D273" t="n">
        <v>249802.28</v>
      </c>
      <c r="E273" t="inlineStr">
        <is>
          <t>Ativo</t>
        </is>
      </c>
      <c r="F273" t="inlineStr">
        <is>
          <t>Contratação da prestação de serviço de hospedagem de servidores em ambiente de máquinas virtuais em nuvem, a fim de atender às necessidades de Tecnologia da Informação da Secretaria de Saúde. TC: 0002</t>
        </is>
      </c>
    </row>
    <row r="274">
      <c r="A274" t="inlineStr">
        <is>
          <t>2026NE0001051</t>
        </is>
      </c>
      <c r="B274" t="inlineStr">
        <is>
          <t>2/2015</t>
        </is>
      </c>
      <c r="C274" t="inlineStr">
        <is>
          <t>13/03/2026</t>
        </is>
      </c>
      <c r="D274" t="n">
        <v>249802.28</v>
      </c>
      <c r="E274" t="inlineStr">
        <is>
          <t>Ativo</t>
        </is>
      </c>
      <c r="F274" t="inlineStr">
        <is>
          <t>Contratação da prestação de serviço de hospedagem de servidores em ambiente de máquinas virtuais em nuvem, a fim de atender às necessidades de Tecnologia da Informação da Secretaria de Saúde. TC: 0002</t>
        </is>
      </c>
    </row>
    <row r="275">
      <c r="A275" t="inlineStr">
        <is>
          <t>2024NE0006754</t>
        </is>
      </c>
      <c r="B275" t="inlineStr">
        <is>
          <t>18/2021</t>
        </is>
      </c>
      <c r="C275" t="inlineStr">
        <is>
          <t>12/12/2024</t>
        </is>
      </c>
      <c r="D275" t="n">
        <v>663281.42</v>
      </c>
      <c r="E275" t="inlineStr">
        <is>
          <t>Ativo</t>
        </is>
      </c>
      <c r="F275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76">
      <c r="A276" t="inlineStr">
        <is>
          <t>2024NE0006756</t>
        </is>
      </c>
      <c r="B276" t="inlineStr">
        <is>
          <t>18/2021</t>
        </is>
      </c>
      <c r="C276" t="inlineStr">
        <is>
          <t>12/12/2024</t>
        </is>
      </c>
      <c r="D276" t="n">
        <v>663281.42</v>
      </c>
      <c r="E276" t="inlineStr">
        <is>
          <t>Ativo</t>
        </is>
      </c>
      <c r="F276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77">
      <c r="A277" t="inlineStr">
        <is>
          <t>2019NE03920</t>
        </is>
      </c>
      <c r="B277" t="inlineStr">
        <is>
          <t>54/2018</t>
        </is>
      </c>
      <c r="C277" t="inlineStr">
        <is>
          <t>12/12/2019</t>
        </is>
      </c>
      <c r="D277" t="n">
        <v>398887.44</v>
      </c>
      <c r="E277" t="inlineStr">
        <is>
          <t>Ativo</t>
        </is>
      </c>
      <c r="F277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278">
      <c r="A278" t="inlineStr">
        <is>
          <t>2019NE03921</t>
        </is>
      </c>
      <c r="B278" t="inlineStr">
        <is>
          <t>2/2015</t>
        </is>
      </c>
      <c r="C278" t="inlineStr">
        <is>
          <t>12/12/2019</t>
        </is>
      </c>
      <c r="D278" t="n">
        <v>1315253.4</v>
      </c>
      <c r="E278" t="inlineStr">
        <is>
          <t>Ativo</t>
        </is>
      </c>
      <c r="F278" t="inlineStr">
        <is>
          <t>CONTRATAÇÃO Serviços de empresa especializada para implementação de melhorias qualitativas e disponibilidade, confiabilidade , escalabilidade e manutenção da rede de dados e ainda atender as necessida</t>
        </is>
      </c>
    </row>
    <row r="279">
      <c r="A279" t="inlineStr">
        <is>
          <t>2020NE03574</t>
        </is>
      </c>
      <c r="B279" t="inlineStr">
        <is>
          <t>2/2015</t>
        </is>
      </c>
      <c r="C279" t="inlineStr">
        <is>
          <t>12/11/2020</t>
        </is>
      </c>
      <c r="D279" t="n">
        <v>277606.06</v>
      </c>
      <c r="E279" t="inlineStr">
        <is>
          <t>Ativo</t>
        </is>
      </c>
      <c r="F279">
        <f>QUARTO TERMO ADITIVO AO CONTRATO N. 002/15; =VIGÊNCIA: 05/01/2018 A 04/01/2019; =RD: 2020RD00978; =REDE DE DADOS; =DIVERSAS UNIDADES; =PERÍODO: 01 A 31/08/2018.</f>
        <v/>
      </c>
    </row>
    <row r="280">
      <c r="A280" t="inlineStr">
        <is>
          <t>2019NE03398</t>
        </is>
      </c>
      <c r="B280" t="inlineStr">
        <is>
          <t>2/2015</t>
        </is>
      </c>
      <c r="C280" t="inlineStr">
        <is>
          <t>12/11/2019</t>
        </is>
      </c>
      <c r="D280" t="n">
        <v>292752.87</v>
      </c>
      <c r="E280" t="inlineStr">
        <is>
          <t>Ativo</t>
        </is>
      </c>
      <c r="F280" t="inlineStr">
        <is>
          <t>SERVIÇOS DE EMPRESA ESPECIALIZADA PARA IMPLEMENTAÇÃO DE MELHORIAS QUALITATIVAS E DISPONIBILIDADE, CONFIABILIDADE, ESCALABILIDADE E MANUTENÇÃO DA REDE DE DADOS E AINDA ATENDER AS NECESSIDADES DE COMUNI</t>
        </is>
      </c>
    </row>
    <row r="281">
      <c r="A281" t="inlineStr">
        <is>
          <t>2017NE02847</t>
        </is>
      </c>
      <c r="B281" t="inlineStr">
        <is>
          <t>2/2015</t>
        </is>
      </c>
      <c r="C281" t="inlineStr">
        <is>
          <t>12/09/2017</t>
        </is>
      </c>
      <c r="D281" t="n">
        <v>292343.68</v>
      </c>
      <c r="E281" t="inlineStr">
        <is>
          <t>Ativo</t>
        </is>
      </c>
      <c r="F281">
        <f>TERCEIRO TERMO ADITIVO AO CONTRATO Nº 002/2015</f>
        <v/>
      </c>
    </row>
    <row r="282">
      <c r="A282" t="inlineStr">
        <is>
          <t>2025NE0004393</t>
        </is>
      </c>
      <c r="B282" t="inlineStr">
        <is>
          <t>21/2021</t>
        </is>
      </c>
      <c r="C282" t="inlineStr">
        <is>
          <t>12/08/2025</t>
        </is>
      </c>
      <c r="D282" t="n">
        <v>1000</v>
      </c>
      <c r="E282" t="inlineStr">
        <is>
          <t>Ativo</t>
        </is>
      </c>
      <c r="F282" t="inlineStr">
        <is>
          <t>Contratação da prestação de serviços de fornecimento de circuito de transmissão de dados com link ponto a ponto entre as unidades da SES-AM TC: 0021/2021 AD: 05.</t>
        </is>
      </c>
    </row>
    <row r="283">
      <c r="A283" t="inlineStr">
        <is>
          <t>2021NE0002636</t>
        </is>
      </c>
      <c r="B283" t="inlineStr">
        <is>
          <t>21/2021</t>
        </is>
      </c>
      <c r="C283" t="inlineStr">
        <is>
          <t>12/08/2021</t>
        </is>
      </c>
      <c r="D283" t="n">
        <v>186141.36</v>
      </c>
      <c r="E283" t="inlineStr">
        <is>
          <t>Ativo</t>
        </is>
      </c>
      <c r="F283" t="inlineStr">
        <is>
          <t>Serviços de Fornecimento de Circuito de Transmissão de Dados com Link ponto a ponto entre as Unidades da SES-AM, SES-AM e a PRODAM, para acesso aos serviços contratados residentes no Data Center do Es</t>
        </is>
      </c>
    </row>
    <row r="284">
      <c r="A284" t="inlineStr">
        <is>
          <t>2023NE0002622</t>
        </is>
      </c>
      <c r="B284" t="inlineStr"/>
      <c r="C284" t="inlineStr">
        <is>
          <t>12/07/2023</t>
        </is>
      </c>
      <c r="D284" t="n">
        <v>638786.27</v>
      </c>
      <c r="E284" t="inlineStr">
        <is>
          <t>Ativo</t>
        </is>
      </c>
      <c r="F284" t="inlineStr">
        <is>
          <t>restação de serviços de desenvolvimento de sistemas de informação, serviço de acesso, consultoria/assessoria e produção de repositórios e armazéns de dados (DataWarehouse) do Governo de Estado TC: 018</t>
        </is>
      </c>
    </row>
    <row r="285">
      <c r="A285" t="inlineStr">
        <is>
          <t>2023NE0002623</t>
        </is>
      </c>
      <c r="B285" t="inlineStr"/>
      <c r="C285" t="inlineStr">
        <is>
          <t>12/07/2023</t>
        </is>
      </c>
      <c r="D285" t="n">
        <v>262926.8</v>
      </c>
      <c r="E285" t="inlineStr">
        <is>
          <t>Ativo</t>
        </is>
      </c>
      <c r="F285" t="inlineStr">
        <is>
          <t>restação de serviços de desenvolvimento de sistemas de informação, serviço de acesso, consultoria/assessoria e produção de repositórios e armazéns de dados (DataWarehouse) do Governo de Estado TC: 018</t>
        </is>
      </c>
    </row>
    <row r="286">
      <c r="A286" t="inlineStr">
        <is>
          <t>2023NE0002221</t>
        </is>
      </c>
      <c r="B286" t="inlineStr">
        <is>
          <t>18/2021</t>
        </is>
      </c>
      <c r="C286" t="inlineStr">
        <is>
          <t>12/06/2023</t>
        </is>
      </c>
      <c r="D286" t="n">
        <v>375859.47</v>
      </c>
      <c r="E286" t="inlineStr">
        <is>
          <t>Ativo</t>
        </is>
      </c>
      <c r="F286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287">
      <c r="A287" t="inlineStr">
        <is>
          <t>2023NE02221</t>
        </is>
      </c>
      <c r="B287" t="inlineStr">
        <is>
          <t>18/2021</t>
        </is>
      </c>
      <c r="C287" t="inlineStr">
        <is>
          <t>12/06/2023</t>
        </is>
      </c>
      <c r="D287" t="n">
        <v>375859.47</v>
      </c>
      <c r="E287" t="inlineStr">
        <is>
          <t>Ativo</t>
        </is>
      </c>
      <c r="F287" t="inlineStr">
        <is>
          <t>Prestação de Serviço de Manutenção de Software, Serviços de Informática e Serviços de Gestão Administrativa e Desenvolvimento de Sistema de Informação.</t>
        </is>
      </c>
    </row>
    <row r="288">
      <c r="A288" t="inlineStr">
        <is>
          <t>2026NE0001029</t>
        </is>
      </c>
      <c r="B288" t="inlineStr">
        <is>
          <t>5/2021</t>
        </is>
      </c>
      <c r="C288" t="inlineStr">
        <is>
          <t>12/03/2026</t>
        </is>
      </c>
      <c r="D288" t="n">
        <v>154015.81</v>
      </c>
      <c r="E288" t="inlineStr">
        <is>
          <t>Ativo</t>
        </is>
      </c>
      <c r="F288">
        <f>SEM COBERTURA CONTRATUAL=SERVIÇO DE HOSPEDAGEM DE SISTEMAS, MANUTENÇÃO EVOLUTIVA E CONSULTORIA, =PERÍODO DE NOVEMBRO/2016 =PARECER Nº 2259/2017</f>
        <v/>
      </c>
    </row>
    <row r="289">
      <c r="A289" t="inlineStr">
        <is>
          <t>2025NE0000905</t>
        </is>
      </c>
      <c r="B289" t="inlineStr">
        <is>
          <t>5/2021</t>
        </is>
      </c>
      <c r="C289" t="inlineStr">
        <is>
          <t>12/03/2025</t>
        </is>
      </c>
      <c r="D289" t="n">
        <v>35112.42</v>
      </c>
      <c r="E289" t="inlineStr">
        <is>
          <t>Ativo</t>
        </is>
      </c>
      <c r="F289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290">
      <c r="A290" t="inlineStr">
        <is>
          <t>2024NE0000960</t>
        </is>
      </c>
      <c r="B290" t="inlineStr">
        <is>
          <t>54/2018</t>
        </is>
      </c>
      <c r="C290" t="inlineStr">
        <is>
          <t>12/03/2024</t>
        </is>
      </c>
      <c r="D290" t="n">
        <v>146012.35</v>
      </c>
      <c r="E290" t="inlineStr">
        <is>
          <t>Ativo</t>
        </is>
      </c>
      <c r="F290">
        <f>QUINTO TERMO ADITIVO AO CONTRATO 054/2018;=VIGÊNCIA: 09/07/2023 A 08/07/2024;=PRESTAÇÃO DE SERVIÇOS DE MANTER CADASTRO SERVIDORES E FOLHA DE PAGAMENTO DE PESSOAL, PROCESSAR FOLHA DE PAGAMENTO E FORNE</f>
        <v/>
      </c>
    </row>
    <row r="291">
      <c r="A291" t="inlineStr">
        <is>
          <t>2020NE03422</t>
        </is>
      </c>
      <c r="B291" t="inlineStr">
        <is>
          <t>54/2018</t>
        </is>
      </c>
      <c r="C291" t="inlineStr">
        <is>
          <t>11/11/2020</t>
        </is>
      </c>
      <c r="D291" t="n">
        <v>122306.88</v>
      </c>
      <c r="E291" t="inlineStr">
        <is>
          <t>Ativo</t>
        </is>
      </c>
      <c r="F291">
        <f>RECONHECIMENTO DE DÍVIDA 2020RD00956; =CONTRATO N. 054/18; =SERVIÇOS DE EXECUÇÃO DE SISTEMAS DE RECURSOS HUMANOS; =SUSAM; =PERÍODO: 01 A 31/12/2019.</f>
        <v/>
      </c>
    </row>
    <row r="292">
      <c r="A292" t="inlineStr">
        <is>
          <t>2020NE03421</t>
        </is>
      </c>
      <c r="B292" t="inlineStr">
        <is>
          <t>54/2018</t>
        </is>
      </c>
      <c r="C292" t="inlineStr">
        <is>
          <t>11/11/2020</t>
        </is>
      </c>
      <c r="D292" t="n">
        <v>80076.21000000001</v>
      </c>
      <c r="E292" t="inlineStr">
        <is>
          <t>Ativo</t>
        </is>
      </c>
      <c r="F292">
        <f>RECONHECIMENTO DE DÍVIDA 2020RD00721; =CONTRATO N. 054/18; =SERVIÇOS DE EXECUÇÃO DE SISTEMAS - SIST. RECURSOS HUMANOS E FOLHA; =SUSAM; =PERÍODO: 01 A 30/09/2019.</f>
        <v/>
      </c>
    </row>
    <row r="293">
      <c r="A293" t="inlineStr">
        <is>
          <t>2020NE03411</t>
        </is>
      </c>
      <c r="B293" t="inlineStr"/>
      <c r="C293" t="inlineStr">
        <is>
          <t>11/11/2020</t>
        </is>
      </c>
      <c r="D293" t="n">
        <v>86855.39999999999</v>
      </c>
      <c r="E293" t="inlineStr">
        <is>
          <t>Ativo</t>
        </is>
      </c>
      <c r="F293">
        <f>SEM COBERTURA CONTRATUAL; =RD: 00975/2020; =SISTEMA DE RECURSOS HUMANOS PARA FOLHA DE PAGAMENTO ; =SUSAM SEDE; =PERÍODO: 01 A 31/03/2018.</f>
        <v/>
      </c>
    </row>
    <row r="294">
      <c r="A294" t="inlineStr">
        <is>
          <t>2020NE03413</t>
        </is>
      </c>
      <c r="B294" t="inlineStr"/>
      <c r="C294" t="inlineStr">
        <is>
          <t>11/11/2020</t>
        </is>
      </c>
      <c r="D294" t="n">
        <v>120844.39</v>
      </c>
      <c r="E294" t="inlineStr">
        <is>
          <t>Ativo</t>
        </is>
      </c>
      <c r="F294">
        <f>SEM COBERTURA CONTRATUAL; =RD: 2020RD00974; =SISTEMA DE RECURSOS HUMANOS PARA FOLHA DE PAGAMENTO ; =SUSAM SEDE; =PERÍODO: 01 A 30/04/2018.</f>
        <v/>
      </c>
    </row>
    <row r="295">
      <c r="A295" t="inlineStr">
        <is>
          <t>2016NE02417</t>
        </is>
      </c>
      <c r="B295" t="inlineStr">
        <is>
          <t>81/2010</t>
        </is>
      </c>
      <c r="C295" t="inlineStr">
        <is>
          <t>11/08/2016</t>
        </is>
      </c>
      <c r="D295" t="n">
        <v>104884.8</v>
      </c>
      <c r="E295" t="inlineStr">
        <is>
          <t>Ativo</t>
        </is>
      </c>
      <c r="F295">
        <f>REFORÇO DO QUINTO TERMO ADITIVO AO CONTRATO N. 081/2010-SUSAM E PRODAM.</f>
        <v/>
      </c>
    </row>
    <row r="296">
      <c r="A296" t="inlineStr">
        <is>
          <t>2016NE02361</t>
        </is>
      </c>
      <c r="B296" t="inlineStr">
        <is>
          <t>116/2013</t>
        </is>
      </c>
      <c r="C296" t="inlineStr">
        <is>
          <t>11/08/2016</t>
        </is>
      </c>
      <c r="D296" t="n">
        <v>154015.78</v>
      </c>
      <c r="E296" t="inlineStr">
        <is>
          <t>Ativo</t>
        </is>
      </c>
      <c r="F296">
        <f>SEGUNDO TERMO ADITIVO AO CONTRATO N° 116/13-SUSAM</f>
        <v/>
      </c>
    </row>
    <row r="297">
      <c r="A297" t="inlineStr">
        <is>
          <t>2017NE02052</t>
        </is>
      </c>
      <c r="B297" t="inlineStr">
        <is>
          <t>2/2015</t>
        </is>
      </c>
      <c r="C297" t="inlineStr">
        <is>
          <t>11/07/2017</t>
        </is>
      </c>
      <c r="D297" t="n">
        <v>292343.68</v>
      </c>
      <c r="E297" t="inlineStr">
        <is>
          <t>Ativo</t>
        </is>
      </c>
      <c r="F297" t="inlineStr">
        <is>
          <t>CONTRATAÇÃO DOS SERVIÇOS DE INFORMÁTICA COMUNICAÇÃO DE DADOS E REDES</t>
        </is>
      </c>
    </row>
    <row r="298">
      <c r="A298" t="inlineStr">
        <is>
          <t>2026NE0000985</t>
        </is>
      </c>
      <c r="B298" t="inlineStr">
        <is>
          <t>21/2021</t>
        </is>
      </c>
      <c r="C298" t="inlineStr">
        <is>
          <t>11/03/2026</t>
        </is>
      </c>
      <c r="D298" t="n">
        <v>106954.98</v>
      </c>
      <c r="E298" t="inlineStr">
        <is>
          <t>Ativo</t>
        </is>
      </c>
      <c r="F298">
        <f>QUARTO TERMO ADITIVO AO CONTRATO 021/2021;=VIGÊNCIA: 12/08/2024 A 12/08/2025 =PRESTAÇÃO DE SERVIÇOS DE FORECIMENTO DE CIRCUITO DE TRANSMISSÃO DE DADOS COM LINK PONTO A PONTO ENTRE AS UNIDADES DA SES-</f>
        <v/>
      </c>
    </row>
    <row r="299">
      <c r="A299" t="inlineStr">
        <is>
          <t>2025NE0000832</t>
        </is>
      </c>
      <c r="B299" t="inlineStr">
        <is>
          <t>21/2021</t>
        </is>
      </c>
      <c r="C299" t="inlineStr">
        <is>
          <t>11/03/2025</t>
        </is>
      </c>
      <c r="D299" t="n">
        <v>325367.97</v>
      </c>
      <c r="E299" t="inlineStr">
        <is>
          <t>Ativo</t>
        </is>
      </c>
      <c r="F299" t="inlineStr">
        <is>
          <t>Contratação da prestação de serviços de fornecimento de circuito de transmissão de dados com link ponto a ponto entre as unidades da SES-AM TC: 0021/2021 AD: 03.</t>
        </is>
      </c>
    </row>
    <row r="300">
      <c r="A300" t="inlineStr">
        <is>
          <t>2025NE0000839</t>
        </is>
      </c>
      <c r="B300" t="inlineStr">
        <is>
          <t>18/2024</t>
        </is>
      </c>
      <c r="C300" t="inlineStr">
        <is>
          <t>11/03/2025</t>
        </is>
      </c>
      <c r="D300" t="n">
        <v>146012.35</v>
      </c>
      <c r="E300" t="inlineStr">
        <is>
          <t>Ativo</t>
        </is>
      </c>
      <c r="F300" t="inlineStr">
        <is>
          <t>Contratação de pessoa jurídica especializada para prestação de serviços PRODAM-RH a fim de atender as necessidades da Secretaria de Estado de Saúde – SES/AM</t>
        </is>
      </c>
    </row>
    <row r="301">
      <c r="A301" t="inlineStr">
        <is>
          <t>2025NE0000836</t>
        </is>
      </c>
      <c r="B301" t="inlineStr">
        <is>
          <t>18/2021</t>
        </is>
      </c>
      <c r="C301" t="inlineStr">
        <is>
          <t>11/03/2025</t>
        </is>
      </c>
      <c r="D301" t="n">
        <v>663084.71</v>
      </c>
      <c r="E301" t="inlineStr">
        <is>
          <t>Ativo</t>
        </is>
      </c>
      <c r="F301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02">
      <c r="A302" t="inlineStr">
        <is>
          <t>2021NE0003956</t>
        </is>
      </c>
      <c r="B302" t="inlineStr">
        <is>
          <t>18/2021</t>
        </is>
      </c>
      <c r="C302" t="inlineStr">
        <is>
          <t>10/11/2021</t>
        </is>
      </c>
      <c r="D302" t="n">
        <v>567989.8100000001</v>
      </c>
      <c r="E302" t="inlineStr">
        <is>
          <t>Ativo</t>
        </is>
      </c>
      <c r="F302" t="inlineStr">
        <is>
          <t>Contratação de pessoa jurídica especializada em serviços de desenvolvimento de sistemas de informação, serviço de acesso, consultoria/assessoria e produção de repositórios e armazéns de dados (DataWar</t>
        </is>
      </c>
    </row>
    <row r="303">
      <c r="A303" t="inlineStr">
        <is>
          <t>2020NE03379</t>
        </is>
      </c>
      <c r="B303" t="inlineStr"/>
      <c r="C303" t="inlineStr">
        <is>
          <t>10/11/2020</t>
        </is>
      </c>
      <c r="D303" t="n">
        <v>277606.06</v>
      </c>
      <c r="E303" t="inlineStr">
        <is>
          <t>Ativo</t>
        </is>
      </c>
      <c r="F303">
        <f>ANULAÇÃO TOTAL NE 3371/2020 =MOTIVO: RD DESCRITIVO DA NF INCORRETO</f>
        <v/>
      </c>
    </row>
    <row r="304">
      <c r="A304" t="inlineStr">
        <is>
          <t>2020NE03378</t>
        </is>
      </c>
      <c r="B304" t="inlineStr">
        <is>
          <t>54/2018</t>
        </is>
      </c>
      <c r="C304" t="inlineStr">
        <is>
          <t>10/11/2020</t>
        </is>
      </c>
      <c r="D304" t="n">
        <v>78388.38</v>
      </c>
      <c r="E304" t="inlineStr">
        <is>
          <t>Ativo</t>
        </is>
      </c>
      <c r="F304">
        <f>RECONHECIMENTO DE DÍVIDA 2020RD00967; =TERMO DE CONTRATO N. 054/18-SUSAM; =VIGÊNCIA: 09/07/2018 A 08/07/2019; =PRESTAÇÃO DE SERVIÇOS DE SISTEMA DE RECUSOS HUMANOS PARA FOLHA DE PAGAMENTO; =01 A 31/10</f>
        <v/>
      </c>
    </row>
    <row r="305">
      <c r="A305" t="inlineStr">
        <is>
          <t>2020NE03382</t>
        </is>
      </c>
      <c r="B305" t="inlineStr">
        <is>
          <t>54/2018</t>
        </is>
      </c>
      <c r="C305" t="inlineStr">
        <is>
          <t>10/11/2020</t>
        </is>
      </c>
      <c r="D305" t="n">
        <v>131871.28</v>
      </c>
      <c r="E305" t="inlineStr">
        <is>
          <t>Ativo</t>
        </is>
      </c>
      <c r="F305" t="inlineStr">
        <is>
          <t>REFORÇO DA NOTA DE EMPENHO Nº 1897/2020</t>
        </is>
      </c>
    </row>
    <row r="306">
      <c r="A306" t="inlineStr">
        <is>
          <t>2020NE02696</t>
        </is>
      </c>
      <c r="B306" t="inlineStr">
        <is>
          <t>54/2018</t>
        </is>
      </c>
      <c r="C306" t="inlineStr">
        <is>
          <t>10/09/2020</t>
        </is>
      </c>
      <c r="D306" t="n">
        <v>131871.28</v>
      </c>
      <c r="E306" t="inlineStr">
        <is>
          <t>Ativo</t>
        </is>
      </c>
      <c r="F306" t="inlineStr">
        <is>
          <t>REFORÇO DA NE Nº 1897/2020</t>
        </is>
      </c>
    </row>
    <row r="307">
      <c r="A307" t="inlineStr">
        <is>
          <t>2023NE0003013</t>
        </is>
      </c>
      <c r="B307" t="inlineStr">
        <is>
          <t>21/2021</t>
        </is>
      </c>
      <c r="C307" t="inlineStr">
        <is>
          <t>10/08/2023</t>
        </is>
      </c>
      <c r="D307" t="n">
        <v>216911.98</v>
      </c>
      <c r="E307" t="inlineStr">
        <is>
          <t>Ativo</t>
        </is>
      </c>
      <c r="F307" t="inlineStr">
        <is>
          <t>Contratação da prestação de serviços de fornecimento de circuito de transmissão de dados com link ponto a ponto entre as unidades da SES-AM TC: 0021/2021 AD: 02.</t>
        </is>
      </c>
    </row>
    <row r="308">
      <c r="A308" t="inlineStr">
        <is>
          <t>2022NE0001328</t>
        </is>
      </c>
      <c r="B308" t="inlineStr">
        <is>
          <t>54/2018</t>
        </is>
      </c>
      <c r="C308" t="inlineStr">
        <is>
          <t>10/05/2022</t>
        </is>
      </c>
      <c r="D308" t="n">
        <v>131871.28</v>
      </c>
      <c r="E308" t="inlineStr">
        <is>
          <t>Ativo</t>
        </is>
      </c>
      <c r="F308" t="inlineStr">
        <is>
          <t>Contratação dos os Serviços PRODAM-RH visando manter o cadastro servidores e folha de pagamento de pessoal, processar folha de pagamento e fornece relatórios para efetivação de pagamento</t>
        </is>
      </c>
    </row>
    <row r="309">
      <c r="A309" t="inlineStr">
        <is>
          <t>2026NE0000972</t>
        </is>
      </c>
      <c r="B309" t="inlineStr">
        <is>
          <t>5/2021</t>
        </is>
      </c>
      <c r="C309" t="inlineStr">
        <is>
          <t>10/03/2026</t>
        </is>
      </c>
      <c r="D309" t="n">
        <v>36112.42</v>
      </c>
      <c r="E309" t="inlineStr">
        <is>
          <t>Ativo</t>
        </is>
      </c>
      <c r="F309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10">
      <c r="A310" t="inlineStr">
        <is>
          <t>2025NE0000383</t>
        </is>
      </c>
      <c r="B310" t="inlineStr">
        <is>
          <t>5/2021</t>
        </is>
      </c>
      <c r="C310" t="inlineStr">
        <is>
          <t>10/02/2025</t>
        </is>
      </c>
      <c r="D310" t="n">
        <v>1000</v>
      </c>
      <c r="E310" t="inlineStr">
        <is>
          <t>Ativo</t>
        </is>
      </c>
      <c r="F310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11">
      <c r="A311" t="inlineStr">
        <is>
          <t>2022NE0005495</t>
        </is>
      </c>
      <c r="B311" t="inlineStr">
        <is>
          <t>5/2021</t>
        </is>
      </c>
      <c r="C311" t="inlineStr">
        <is>
          <t>09/12/2022</t>
        </is>
      </c>
      <c r="D311" t="n">
        <v>34245.6</v>
      </c>
      <c r="E311" t="inlineStr">
        <is>
          <t>Ativo</t>
        </is>
      </c>
      <c r="F311" t="inlineStr">
        <is>
          <t>Contratação da prestação de serviço de hospedagem de servidores em ambiente de máquinas virtuais em nuvem, a fim de atender às necessidades de ampliação, atualização e padronização do ambiente de Tecn</t>
        </is>
      </c>
    </row>
    <row r="312">
      <c r="A312" t="inlineStr">
        <is>
          <t>2022NE0005499</t>
        </is>
      </c>
      <c r="B312" t="inlineStr"/>
      <c r="C312" t="inlineStr">
        <is>
          <t>09/12/2022</t>
        </is>
      </c>
      <c r="D312" t="n">
        <v>292024.7</v>
      </c>
      <c r="E312" t="inlineStr">
        <is>
          <t>Ativo</t>
        </is>
      </c>
      <c r="F312">
        <f>REFORÇO DA NE 4104/22 AO QUARTO TERMO ADITIVO AO CONTRATO 051/18</f>
        <v/>
      </c>
    </row>
    <row r="313">
      <c r="A313" t="inlineStr">
        <is>
          <t>2022NE0005497</t>
        </is>
      </c>
      <c r="B313" t="inlineStr"/>
      <c r="C313" t="inlineStr">
        <is>
          <t>09/12/2022</t>
        </is>
      </c>
      <c r="D313" t="n">
        <v>325367.9</v>
      </c>
      <c r="E313" t="inlineStr">
        <is>
          <t>Ativo</t>
        </is>
      </c>
      <c r="F313">
        <f>REFORÇO DA NE 4736/22 AO PRIMEIRO TERMO ADITIVO AO CONTRATO 021/21</f>
        <v/>
      </c>
    </row>
    <row r="314">
      <c r="A314" t="inlineStr">
        <is>
          <t>2022NE0005498</t>
        </is>
      </c>
      <c r="B314" t="inlineStr"/>
      <c r="C314" t="inlineStr">
        <is>
          <t>09/12/2022</t>
        </is>
      </c>
      <c r="D314" t="n">
        <v>638786.27</v>
      </c>
      <c r="E314" t="inlineStr">
        <is>
          <t>Ativo</t>
        </is>
      </c>
      <c r="F314">
        <f>REFORÇO DA NE 2690/22 AO PRIMEIRO TERMO ADITIVO AO CONTRATO 018/21</f>
        <v/>
      </c>
    </row>
    <row r="315">
      <c r="A315" t="inlineStr">
        <is>
          <t>2022NE0005496</t>
        </is>
      </c>
      <c r="B315" t="inlineStr"/>
      <c r="C315" t="inlineStr">
        <is>
          <t>09/12/2022</t>
        </is>
      </c>
      <c r="D315" t="n">
        <v>68491.2</v>
      </c>
      <c r="E315" t="inlineStr">
        <is>
          <t>Ativo</t>
        </is>
      </c>
      <c r="F315">
        <f>REFORÇO DA NE 1176/2022 AO PRIMEIRO TERMO ADITIVO AO CONTRATO 005/21</f>
        <v/>
      </c>
    </row>
    <row r="316">
      <c r="A316" t="inlineStr">
        <is>
          <t>2020NE03366</t>
        </is>
      </c>
      <c r="B316" t="inlineStr">
        <is>
          <t>55/2018</t>
        </is>
      </c>
      <c r="C316" t="inlineStr">
        <is>
          <t>09/11/2020</t>
        </is>
      </c>
      <c r="D316" t="n">
        <v>13200</v>
      </c>
      <c r="E316" t="inlineStr">
        <is>
          <t>Ativo</t>
        </is>
      </c>
      <c r="F316">
        <f>RECONHECIMENTO DE DÍVIDA 2020RD00970; =TERMO DE CONTRATO N. 055/18-SUSAM; =VIGÊNCIA: 09/07/2018 A 06/10/2018; =PRESTAÇÃO E SERVIÇOS DE TREINAMENTO EM SISTEMAS DE INFORMAÇÃO; =01 A 30/09/2018.</f>
        <v/>
      </c>
    </row>
    <row r="317">
      <c r="A317" t="inlineStr">
        <is>
          <t>2020NE03365</t>
        </is>
      </c>
      <c r="B317" t="inlineStr">
        <is>
          <t>2/2015</t>
        </is>
      </c>
      <c r="C317" t="inlineStr">
        <is>
          <t>09/11/2020</t>
        </is>
      </c>
      <c r="D317" t="n">
        <v>277606.06</v>
      </c>
      <c r="E317" t="inlineStr">
        <is>
          <t>Ativo</t>
        </is>
      </c>
      <c r="F317">
        <f>QUARTO TERMO ADITIVO AO CONTRATO Nº 002/2015; =VIGÊNCIA: 05/01/2018 A 04/01/2019; =RD: 2020RD00960; =REDE DE DADOS; =DIVERSAS UNIDADES; =PERÍODO: 01 A 31/10/2018.</f>
        <v/>
      </c>
    </row>
    <row r="318">
      <c r="A318" t="inlineStr">
        <is>
          <t>2020NE03377</t>
        </is>
      </c>
      <c r="B318" t="inlineStr"/>
      <c r="C318" t="inlineStr">
        <is>
          <t>09/11/2020</t>
        </is>
      </c>
      <c r="D318" t="n">
        <v>277606.06</v>
      </c>
      <c r="E318" t="inlineStr">
        <is>
          <t>Ativo</t>
        </is>
      </c>
      <c r="F318">
        <f>QUARTO TERMO ADITIVO AO CONTRATO N. 002/15; =VIGÊNCIA: 05/01/2018 A 04/01/2019; =RD: 2020RD00964; =REDE DE DADOS; =DIVERSAS UNIDADES; =PERÍODO: 01 A 31/05/2018.</f>
        <v/>
      </c>
    </row>
    <row r="319">
      <c r="A319" t="inlineStr">
        <is>
          <t>2020NE03367</t>
        </is>
      </c>
      <c r="B319" t="inlineStr">
        <is>
          <t>54/2018</t>
        </is>
      </c>
      <c r="C319" t="inlineStr">
        <is>
          <t>09/11/2020</t>
        </is>
      </c>
      <c r="D319" t="n">
        <v>79988.82000000001</v>
      </c>
      <c r="E319" t="inlineStr">
        <is>
          <t>Ativo</t>
        </is>
      </c>
      <c r="F319">
        <f>RECONHECIMENTO DE DÍVIDA 2020RD00968; =TERMO DE CONTRATO N. 054/18-SUSAM; =VIGÊNCIA: 09/07/2018 A 08/07/2019; =PRESTAÇÃO DE SERVIÇOS DE SISTEMA DE RECUSOS HUMANOS PARA FOLHA DE PAGAMENTO; =01 A 30/11</f>
        <v/>
      </c>
    </row>
    <row r="320">
      <c r="A320" t="inlineStr">
        <is>
          <t>2020NE03376</t>
        </is>
      </c>
      <c r="B320" t="inlineStr"/>
      <c r="C320" t="inlineStr">
        <is>
          <t>09/11/2020</t>
        </is>
      </c>
      <c r="D320" t="n">
        <v>279769.89</v>
      </c>
      <c r="E320" t="inlineStr">
        <is>
          <t>Ativo</t>
        </is>
      </c>
      <c r="F320">
        <f>RECONHECIMENTO DE DÍVIDA; =TERMO DE CONTRATO Nº 002/2015-SUSAM; =QUARTO TERMO ADITIVO AO CONTRATO Nº 002/15; =VIGÊNCIA: 05/01/2018 A 04/01/2019; =RD Nº 00962/2020; =REDE DE DADOS; =LOCAL:69 UNIDADES </f>
        <v/>
      </c>
    </row>
    <row r="321">
      <c r="A321" t="inlineStr">
        <is>
          <t>2020NE03375</t>
        </is>
      </c>
      <c r="B321" t="inlineStr"/>
      <c r="C321" t="inlineStr">
        <is>
          <t>09/11/2020</t>
        </is>
      </c>
      <c r="D321" t="n">
        <v>277606.06</v>
      </c>
      <c r="E321" t="inlineStr">
        <is>
          <t>Ativo</t>
        </is>
      </c>
      <c r="F321">
        <f>RECONHECIMENTO DE DÍVIDA; =RD Nº 965/2020; =TERMO DE CONTRATO Nº 002/2015-SUSAM =QUARTO TERMO ADITIVO AO CONTRATO Nº 002/15; =VIGÊNCIA: 05/01/2018 A 04/01/2019; =REDE DE DADOS; =LOCAL: 69 UNIDADES DE</f>
        <v/>
      </c>
    </row>
    <row r="322">
      <c r="A322" t="inlineStr">
        <is>
          <t>2020NE03374</t>
        </is>
      </c>
      <c r="B322" t="inlineStr"/>
      <c r="C322" t="inlineStr">
        <is>
          <t>09/11/2020</t>
        </is>
      </c>
      <c r="D322" t="n">
        <v>78352.25999999999</v>
      </c>
      <c r="E322" t="inlineStr">
        <is>
          <t>Ativo</t>
        </is>
      </c>
      <c r="F322">
        <f>RECONHECIMENTO DE DÍVIDA 2020RD00972; =TERMO DE CONTRATO N. 054/18-SUSAM; =VIGÊNCIA: 09/07/2018 A 08/07/2019; =PRESTAÇÃO DE SERVIÇOS DE SISTEMA DE RECUSOS HUMANOS PARA FOLHA DE PAGAMENTO; =01 A 30/09</f>
        <v/>
      </c>
    </row>
    <row r="323">
      <c r="A323" t="inlineStr">
        <is>
          <t>2020NE03373</t>
        </is>
      </c>
      <c r="B323" t="inlineStr"/>
      <c r="C323" t="inlineStr">
        <is>
          <t>09/11/2020</t>
        </is>
      </c>
      <c r="D323" t="n">
        <v>105746.41</v>
      </c>
      <c r="E323" t="inlineStr">
        <is>
          <t>Ativo</t>
        </is>
      </c>
      <c r="F323">
        <f>RECONHECIMENTO DE DÍVIDA 2020RD00976; =TERMO DE CONTRATO N. 054/18-SUSAM; =VIGÊNCIA: 09/07/2018 A 08/07/2019; =PRESTAÇÃO DE SERVIÇOS DE SISTEMA DE RECUSOS HUMANOS PARA FOLHA DE PAGAMENTO; =01 A 31/08</f>
        <v/>
      </c>
    </row>
    <row r="324">
      <c r="A324" t="inlineStr">
        <is>
          <t>2020NE03371</t>
        </is>
      </c>
      <c r="B324" t="inlineStr"/>
      <c r="C324" t="inlineStr">
        <is>
          <t>09/11/2020</t>
        </is>
      </c>
      <c r="D324" t="n">
        <v>277606.06</v>
      </c>
      <c r="E324" t="inlineStr">
        <is>
          <t>Ativo</t>
        </is>
      </c>
      <c r="F324">
        <f>QUARTO TERMO ADITIVO AO CONTRATO N. 002/15; =VIGÊNCIA: 05/01/2018 A 04/01/2019; =RI: 2020RD00969; =REDE DE DADOS; =DIVERSAS UNIDADES; =PERÍODO: 01 A 31/08/2018.</f>
        <v/>
      </c>
    </row>
    <row r="325">
      <c r="A325" t="inlineStr">
        <is>
          <t>2020NE03372</t>
        </is>
      </c>
      <c r="B325" t="inlineStr"/>
      <c r="C325" t="inlineStr">
        <is>
          <t>09/11/2020</t>
        </is>
      </c>
      <c r="D325" t="n">
        <v>277606.06</v>
      </c>
      <c r="E325" t="inlineStr">
        <is>
          <t>Ativo</t>
        </is>
      </c>
      <c r="F325">
        <f>RECONHECIMENTO DE DÍVIDA; =TERMO DE CONTRATO Nº 002/2015-SUSAM =QUARTO TERMO ADITIVO AO CONTRATO Nº 002/2015; =VIGÊNCIA: 05/01/2018 A 04/01/2019; =RD Nº 0966/2020; =REDE DE DADOS; =LOCAL: 69 UNIDADES</f>
        <v/>
      </c>
    </row>
    <row r="326">
      <c r="A326" t="inlineStr">
        <is>
          <t>2020NE03370</t>
        </is>
      </c>
      <c r="B326" t="inlineStr"/>
      <c r="C326" t="inlineStr">
        <is>
          <t>09/11/2020</t>
        </is>
      </c>
      <c r="D326" t="n">
        <v>277606.06</v>
      </c>
      <c r="E326" t="inlineStr">
        <is>
          <t>Ativo</t>
        </is>
      </c>
      <c r="F326">
        <f>RECONHECIMENTO DE DÍVIDA, =RD Nº 00961/2020 =TERMO DE CONTRATO Nº 002/2015-SUSAM =QUARTO TERMO ADITIVO AO CONTRATO Nº 002/15; =VIGÊNCIA: 05/01/2018 A 04/01/2019; =REDE DE DADOS; =LOCAL: 69 UNIDADES D</f>
        <v/>
      </c>
    </row>
    <row r="327">
      <c r="A327" t="inlineStr">
        <is>
          <t>2020NE03368</t>
        </is>
      </c>
      <c r="B327" t="inlineStr"/>
      <c r="C327" t="inlineStr">
        <is>
          <t>09/11/2020</t>
        </is>
      </c>
      <c r="D327" t="n">
        <v>122306.88</v>
      </c>
      <c r="E327" t="inlineStr">
        <is>
          <t>Ativo</t>
        </is>
      </c>
      <c r="F327">
        <f>RECONHECIMENTO DE DÍVIDA; =RD Nº 00963/2020; =TERMO DE CONTRATO Nº 054/18-SUSAM; =VIGÊNCIA: 09/07/2018 A 08/07/2019; =PRESTAÇÃO DE SERVIÇOS DE SISTEMA DE RECUSOS HUMANOS PARA FOLHA DE PAGAMENTO; =01 </f>
        <v/>
      </c>
    </row>
    <row r="328">
      <c r="A328" t="inlineStr">
        <is>
          <t>2020NE03364</t>
        </is>
      </c>
      <c r="B328" t="inlineStr">
        <is>
          <t>2/2015</t>
        </is>
      </c>
      <c r="C328" t="inlineStr">
        <is>
          <t>09/11/2020</t>
        </is>
      </c>
      <c r="D328" t="n">
        <v>279769.89</v>
      </c>
      <c r="E328" t="inlineStr">
        <is>
          <t>Ativo</t>
        </is>
      </c>
      <c r="F328">
        <f>QUARTO TERMO ADITIVO AO CONTRATO N. 002/15; =VIGÊNCIA: 05/01/2018 A 04/01/2019; =RI: 2020RD00961; =REDE DE DADOS; =DIVERSAS UNIDADES; =PERÍODO: 01 A 31/12/2018.</f>
        <v/>
      </c>
    </row>
    <row r="329">
      <c r="A329" t="inlineStr">
        <is>
          <t>2020NE03369</t>
        </is>
      </c>
      <c r="B329" t="inlineStr"/>
      <c r="C329" t="inlineStr">
        <is>
          <t>09/11/2020</t>
        </is>
      </c>
      <c r="D329" t="n">
        <v>122306.88</v>
      </c>
      <c r="E329" t="inlineStr">
        <is>
          <t>Ativo</t>
        </is>
      </c>
      <c r="F329">
        <f>RECONHECIMENTO DE DÍVIDA 2020RD00977; =TERMO DE CONTRATO N. 054/18-SUSAM; =VIGÊNCIA: 09/07/2018 A 08/07/2019; =PRESTAÇÃO DE SERVIÇOS DE SISTEMA DE RECUSOS HUMANOS PARA FOLHA DE PAGAMENTO; =01 A 31/12</f>
        <v/>
      </c>
    </row>
    <row r="330">
      <c r="A330" t="inlineStr">
        <is>
          <t>2022NE0002975</t>
        </is>
      </c>
      <c r="B330" t="inlineStr">
        <is>
          <t>54/2018</t>
        </is>
      </c>
      <c r="C330" t="inlineStr">
        <is>
          <t>09/08/2022</t>
        </is>
      </c>
      <c r="D330" t="n">
        <v>131871.28</v>
      </c>
      <c r="E330" t="inlineStr">
        <is>
          <t>Ativo</t>
        </is>
      </c>
      <c r="F330">
        <f>REFORÇO DA NJE 1328 REF AO TERCEIRO TERMO ADITIVO AO CONTRATO 054/2018</f>
        <v/>
      </c>
    </row>
    <row r="331">
      <c r="A331" t="inlineStr">
        <is>
          <t>2018NE02638</t>
        </is>
      </c>
      <c r="B331" t="inlineStr">
        <is>
          <t>55/2018</t>
        </is>
      </c>
      <c r="C331" t="inlineStr">
        <is>
          <t>09/07/2018</t>
        </is>
      </c>
      <c r="D331" t="n">
        <v>17600</v>
      </c>
      <c r="E331" t="inlineStr">
        <is>
          <t>Ativo</t>
        </is>
      </c>
      <c r="F331" t="inlineStr">
        <is>
          <t>CONTRATAÇÃO Serviços de TI, compreendendo a capacitação e treinamento par até 15 colaboradores desta SUSAM para implantação, suporte e uso dos sistemas de informação da SAÚDE - HYGIA</t>
        </is>
      </c>
    </row>
    <row r="332">
      <c r="A332" t="inlineStr">
        <is>
          <t>2018NE02573</t>
        </is>
      </c>
      <c r="B332" t="inlineStr">
        <is>
          <t>54/2018</t>
        </is>
      </c>
      <c r="C332" t="inlineStr">
        <is>
          <t>09/07/2018</t>
        </is>
      </c>
      <c r="D332" t="n">
        <v>191268.1</v>
      </c>
      <c r="E332" t="inlineStr">
        <is>
          <t>Ativo</t>
        </is>
      </c>
      <c r="F332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333">
      <c r="A333" t="inlineStr">
        <is>
          <t>2015NE02794</t>
        </is>
      </c>
      <c r="B333" t="inlineStr">
        <is>
          <t>2/2015</t>
        </is>
      </c>
      <c r="C333" t="inlineStr">
        <is>
          <t>09/07/2015</t>
        </is>
      </c>
      <c r="D333" t="n">
        <v>335861.68</v>
      </c>
      <c r="E333" t="inlineStr">
        <is>
          <t>Ativo</t>
        </is>
      </c>
      <c r="F333" t="inlineStr">
        <is>
          <t>NE 2794 DE 09/07/2015 R$ 335.861,68</t>
        </is>
      </c>
    </row>
    <row r="334">
      <c r="A334" t="inlineStr">
        <is>
          <t>2015NE02792</t>
        </is>
      </c>
      <c r="B334" t="inlineStr">
        <is>
          <t>116/2013</t>
        </is>
      </c>
      <c r="C334" t="inlineStr">
        <is>
          <t>09/07/2015</t>
        </is>
      </c>
      <c r="D334" t="n">
        <v>219646</v>
      </c>
      <c r="E334" t="inlineStr">
        <is>
          <t>Ativo</t>
        </is>
      </c>
      <c r="F334">
        <f>PRIMEIRO TERMO ADITIVO AO CONTRATO Nº 116/2013, PROCESSAMENTO DE DADOS</f>
        <v/>
      </c>
    </row>
    <row r="335">
      <c r="A335" t="inlineStr">
        <is>
          <t>2025NE0003174</t>
        </is>
      </c>
      <c r="B335" t="inlineStr">
        <is>
          <t>5/2021</t>
        </is>
      </c>
      <c r="C335" t="inlineStr">
        <is>
          <t>09/06/2025</t>
        </is>
      </c>
      <c r="D335" t="n">
        <v>36112.42</v>
      </c>
      <c r="E335" t="inlineStr">
        <is>
          <t>Ativo</t>
        </is>
      </c>
      <c r="F335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36">
      <c r="A336" t="inlineStr">
        <is>
          <t>2018NE01675</t>
        </is>
      </c>
      <c r="B336" t="inlineStr">
        <is>
          <t>2/2015</t>
        </is>
      </c>
      <c r="C336" t="inlineStr">
        <is>
          <t>09/05/2018</t>
        </is>
      </c>
      <c r="D336" t="n">
        <v>292752.87</v>
      </c>
      <c r="E336" t="inlineStr">
        <is>
          <t>Ativo</t>
        </is>
      </c>
      <c r="F336" t="inlineStr">
        <is>
          <t>ONTRATAÇÃO DE EMPRESA ESPECIALIZADA PARA IMPLEMENTAÇÃO DE MELHORIAS QUALITATIVAS E DISPONIBILIDADE. CONFIABILIDADE, ESCALABILIDADE E MANUTENÇÃO DA REDE DE DADOS</t>
        </is>
      </c>
    </row>
    <row r="337">
      <c r="A337" t="inlineStr">
        <is>
          <t>2023NE0000531</t>
        </is>
      </c>
      <c r="B337" t="inlineStr">
        <is>
          <t>5/2021</t>
        </is>
      </c>
      <c r="C337" t="inlineStr">
        <is>
          <t>09/02/2023</t>
        </is>
      </c>
      <c r="D337" t="n">
        <v>1243.44</v>
      </c>
      <c r="E337" t="inlineStr">
        <is>
          <t>Ativo</t>
        </is>
      </c>
      <c r="F337" t="inlineStr">
        <is>
          <t>Contratação da prestação de serviço de hospedagem de servidores em ambiente de máquinas virtuais em nuvem, a fim de atender às necessidades de ampliação, atualização e padronização do ambiente de Tecn</t>
        </is>
      </c>
    </row>
    <row r="338">
      <c r="A338" t="inlineStr">
        <is>
          <t>2021NE0003940</t>
        </is>
      </c>
      <c r="B338" t="inlineStr">
        <is>
          <t>21/2021</t>
        </is>
      </c>
      <c r="C338" t="inlineStr">
        <is>
          <t>08/11/2021</t>
        </is>
      </c>
      <c r="D338" t="n">
        <v>293907.41</v>
      </c>
      <c r="E338" t="inlineStr">
        <is>
          <t>Ativo</t>
        </is>
      </c>
      <c r="F338">
        <f>CT 021/21; =Serviços de fornecimento de circuito de transmissão de dados com link ponto a ponto; =UNIDADES DA SES; =OUTUBRO/2021.</f>
        <v/>
      </c>
    </row>
    <row r="339">
      <c r="A339" t="inlineStr">
        <is>
          <t>2025NE0005878</t>
        </is>
      </c>
      <c r="B339" t="inlineStr">
        <is>
          <t>21/2021</t>
        </is>
      </c>
      <c r="C339" t="inlineStr">
        <is>
          <t>08/10/2025</t>
        </is>
      </c>
      <c r="D339" t="n">
        <v>244721.3</v>
      </c>
      <c r="E339" t="inlineStr">
        <is>
          <t>Ativo</t>
        </is>
      </c>
      <c r="F339" t="inlineStr">
        <is>
          <t>Contratação da prestação de serviços de fornecimento de circuito de transmissão de dados com link ponto a ponto entre as unidades da SES-AM TC: 0021/2021 AD: 03.</t>
        </is>
      </c>
    </row>
    <row r="340">
      <c r="A340" t="inlineStr">
        <is>
          <t>2023NE0003009</t>
        </is>
      </c>
      <c r="B340" t="inlineStr"/>
      <c r="C340" t="inlineStr">
        <is>
          <t>08/08/2023</t>
        </is>
      </c>
      <c r="D340" t="n">
        <v>216911.98</v>
      </c>
      <c r="E340" t="inlineStr">
        <is>
          <t>Ativo</t>
        </is>
      </c>
      <c r="F340">
        <f>ANULACAO PARCIAL =MOTIVO SALDO DE EMPENHO</f>
        <v/>
      </c>
    </row>
    <row r="341">
      <c r="A341" t="inlineStr">
        <is>
          <t>2022NE0002453</t>
        </is>
      </c>
      <c r="B341" t="inlineStr">
        <is>
          <t>54/2018</t>
        </is>
      </c>
      <c r="C341" t="inlineStr">
        <is>
          <t>08/07/2022</t>
        </is>
      </c>
      <c r="D341" t="n">
        <v>146012.35</v>
      </c>
      <c r="E341" t="inlineStr">
        <is>
          <t>Ativo</t>
        </is>
      </c>
      <c r="F341" t="inlineStr">
        <is>
          <t>prestação de Serviços PRODAM-RH visando manter o cadastro servidores e folha de pagamento de pessoal, processar folha de pagamento e fornecer relatórios para efetivação de pagamento</t>
        </is>
      </c>
    </row>
    <row r="342">
      <c r="A342" t="inlineStr">
        <is>
          <t>2021NE0002175</t>
        </is>
      </c>
      <c r="B342" t="inlineStr">
        <is>
          <t>54/2018</t>
        </is>
      </c>
      <c r="C342" t="inlineStr">
        <is>
          <t>08/07/2021</t>
        </is>
      </c>
      <c r="D342" t="n">
        <v>165777.43</v>
      </c>
      <c r="E342" t="inlineStr">
        <is>
          <t>Ativo</t>
        </is>
      </c>
      <c r="F342">
        <f>3º TERMO ADITIVO AO CONTRATO N. 054/2018; =VIGÊNCIA DO TERMO: 09/07/2021 A 08/07/2022 =FOLHA DE PAGAMENTO DE PESSOAL; =SES-AM/SEDE; =JULHO/2021.</f>
        <v/>
      </c>
    </row>
    <row r="343">
      <c r="A343" t="inlineStr">
        <is>
          <t>2017NE01682</t>
        </is>
      </c>
      <c r="B343" t="inlineStr">
        <is>
          <t>2/2015</t>
        </is>
      </c>
      <c r="C343" t="inlineStr">
        <is>
          <t>08/06/2017</t>
        </is>
      </c>
      <c r="D343" t="n">
        <v>292343.68</v>
      </c>
      <c r="E343" t="inlineStr">
        <is>
          <t>Ativo</t>
        </is>
      </c>
      <c r="F343">
        <f>TERCEIRO TERMO ADITIVO AO CONTRATO Nº 002/2015 CELEBRADO ENTRE O ESTADO DO AMAZONAS, POR INTERMEDIO DA SECRETARIA DE ESTADO DE SA¿DE E A PRODAM - PROCESSAMENTO DE DADOS AMAZONAS S.A; =OBJETO: PRORROG</f>
        <v/>
      </c>
    </row>
    <row r="344">
      <c r="A344" t="inlineStr">
        <is>
          <t>2015NE02025</t>
        </is>
      </c>
      <c r="B344" t="inlineStr">
        <is>
          <t>81/2010</t>
        </is>
      </c>
      <c r="C344" t="inlineStr">
        <is>
          <t>08/05/2015</t>
        </is>
      </c>
      <c r="D344" t="n">
        <v>104884.8</v>
      </c>
      <c r="E344" t="inlineStr">
        <is>
          <t>Ativo</t>
        </is>
      </c>
      <c r="F344">
        <f>QUARTO TERMO ADITIVO AO CONTRATO N° 081/2010-SUSAM.</f>
        <v/>
      </c>
    </row>
    <row r="345">
      <c r="A345" t="inlineStr">
        <is>
          <t>2015NE02027</t>
        </is>
      </c>
      <c r="B345" t="inlineStr">
        <is>
          <t>116/2013</t>
        </is>
      </c>
      <c r="C345" t="inlineStr">
        <is>
          <t>08/05/2015</t>
        </is>
      </c>
      <c r="D345" t="n">
        <v>219646</v>
      </c>
      <c r="E345" t="inlineStr">
        <is>
          <t>Ativo</t>
        </is>
      </c>
      <c r="F345">
        <f>PRIMEIRO TERMO ADITIVO AO CONTRATO N° 116/2013-SUSAM</f>
        <v/>
      </c>
    </row>
    <row r="346">
      <c r="A346" t="inlineStr">
        <is>
          <t>2026NE0001375</t>
        </is>
      </c>
      <c r="B346" t="inlineStr">
        <is>
          <t>P.254/2017</t>
        </is>
      </c>
      <c r="C346" t="inlineStr">
        <is>
          <t>08/04/2026</t>
        </is>
      </c>
      <c r="D346" t="n">
        <v>73266.06</v>
      </c>
      <c r="E346" t="inlineStr">
        <is>
          <t>Ativo</t>
        </is>
      </c>
      <c r="F346">
        <f>SEM COBERTURA CONTRATUAL=SERVIÇO DE EXECUÇÃO DE SISTEMA PRODAM-RH, SISTEMA DE RECURSOS HUMANOS=PERÍODO:MAIO/2017 =PARECER Nº 2391/2018</f>
        <v/>
      </c>
    </row>
    <row r="347">
      <c r="A347" t="inlineStr">
        <is>
          <t>2021NE0001056</t>
        </is>
      </c>
      <c r="B347" t="inlineStr">
        <is>
          <t>54/2018</t>
        </is>
      </c>
      <c r="C347" t="inlineStr">
        <is>
          <t>08/04/2021</t>
        </is>
      </c>
      <c r="D347" t="n">
        <v>131871.28</v>
      </c>
      <c r="E347" t="inlineStr">
        <is>
          <t>Ativo</t>
        </is>
      </c>
      <c r="F347" t="inlineStr">
        <is>
          <t>REFORÇO DA NOTA DE EMPENHO Nº 199/2021</t>
        </is>
      </c>
    </row>
    <row r="348">
      <c r="A348" t="inlineStr">
        <is>
          <t>2021NE0001057</t>
        </is>
      </c>
      <c r="B348" t="inlineStr">
        <is>
          <t>5/2021</t>
        </is>
      </c>
      <c r="C348" t="inlineStr">
        <is>
          <t>08/04/2021</t>
        </is>
      </c>
      <c r="D348" t="n">
        <v>68491.2</v>
      </c>
      <c r="E348" t="inlineStr">
        <is>
          <t>Ativo</t>
        </is>
      </c>
      <c r="F348">
        <f>TERMO DE CONTRATO 005/2021; =SERVIÇO DE FORNECIMENTO DE SERVIDORES EM NUVEM; =LOCAL: SUS/AM; =PERÍODO: MARÇO E ABRIL/2021.</f>
        <v/>
      </c>
    </row>
    <row r="349">
      <c r="A349" t="inlineStr">
        <is>
          <t>2021NE0000443</t>
        </is>
      </c>
      <c r="B349" t="inlineStr">
        <is>
          <t>5/2021</t>
        </is>
      </c>
      <c r="C349" t="inlineStr">
        <is>
          <t>08/02/2021</t>
        </is>
      </c>
      <c r="D349" t="n">
        <v>56101.5</v>
      </c>
      <c r="E349" t="inlineStr">
        <is>
          <t>Ativo</t>
        </is>
      </c>
      <c r="F349" t="inlineStr">
        <is>
          <t>Contratação de pessoa jurídica especializada em serviço de hospedagem de servidores em ambiente de máquinas virtuais em nuvem, a fim de atender às necessidades de ampliação, atualização e padronização</t>
        </is>
      </c>
    </row>
    <row r="350">
      <c r="A350" t="inlineStr">
        <is>
          <t>2016NE03136</t>
        </is>
      </c>
      <c r="B350" t="inlineStr"/>
      <c r="C350" t="inlineStr">
        <is>
          <t>07/12/2016</t>
        </is>
      </c>
      <c r="D350" t="n">
        <v>314654.4</v>
      </c>
      <c r="E350" t="inlineStr">
        <is>
          <t>Ativo</t>
        </is>
      </c>
      <c r="F350">
        <f>ANULAÇAO TOTAL DA NOTA DE EMPENHO. =MOTIVO: AJUSTE ORÇAMENTARIO.</f>
        <v/>
      </c>
    </row>
    <row r="351">
      <c r="A351" t="inlineStr">
        <is>
          <t>2016NE03137</t>
        </is>
      </c>
      <c r="B351" t="inlineStr">
        <is>
          <t>81/2010</t>
        </is>
      </c>
      <c r="C351" t="inlineStr">
        <is>
          <t>07/12/2016</t>
        </is>
      </c>
      <c r="D351" t="n">
        <v>209769.6</v>
      </c>
      <c r="E351" t="inlineStr">
        <is>
          <t>Ativo</t>
        </is>
      </c>
      <c r="F351">
        <f>QUINTO TERMO ADITIVO AO CONTRATO N° 081/10-SUSAM,</f>
        <v/>
      </c>
    </row>
    <row r="352">
      <c r="A352" t="inlineStr">
        <is>
          <t>2016NE03116</t>
        </is>
      </c>
      <c r="B352" t="inlineStr">
        <is>
          <t>2/2015</t>
        </is>
      </c>
      <c r="C352" t="inlineStr">
        <is>
          <t>07/12/2016</t>
        </is>
      </c>
      <c r="D352" t="n">
        <v>2149783.44</v>
      </c>
      <c r="E352" t="inlineStr">
        <is>
          <t>Ativo</t>
        </is>
      </c>
      <c r="F352">
        <f>SEGUNDO TERMO ADITIVO AO CONTRATO Nº 002/2015 CELEBRADO ENTRE O ESTADO DO AMAZONAS, POR INTERMÉDIO DA SECRETARIA DE ESTADO DE SAÚDE E A PRODAM - PROCESSAMENTO DE DADOS AMAZONAS S.A; =OBJETO: PRORROGA</f>
        <v/>
      </c>
    </row>
    <row r="353">
      <c r="A353" t="inlineStr">
        <is>
          <t>2016NE03114</t>
        </is>
      </c>
      <c r="B353" t="inlineStr">
        <is>
          <t>81/2010</t>
        </is>
      </c>
      <c r="C353" t="inlineStr">
        <is>
          <t>07/12/2016</t>
        </is>
      </c>
      <c r="D353" t="n">
        <v>314654.4</v>
      </c>
      <c r="E353" t="inlineStr">
        <is>
          <t>Ativo</t>
        </is>
      </c>
      <c r="F353">
        <f>QUINTO TERMO ADITIVO AO CONTRATO 081/10 CELEBRADO ENTRE O ESTADO DO AMAZONAS POR INTERMÉDIO DA SECRETARIA DE ESTADO DE SAÚDE E A PRODAM. =OBJETO: PRORROGAR O PRAZO DE VIGÊNCIA DO CONTRATO PRIMITIVO P</f>
        <v/>
      </c>
    </row>
    <row r="354">
      <c r="A354" t="inlineStr">
        <is>
          <t>2025NE0004345</t>
        </is>
      </c>
      <c r="B354" t="inlineStr"/>
      <c r="C354" t="inlineStr">
        <is>
          <t>07/08/2025</t>
        </is>
      </c>
      <c r="D354" t="n">
        <v>407446.52</v>
      </c>
      <c r="E354" t="inlineStr">
        <is>
          <t>Ativo</t>
        </is>
      </c>
      <c r="F354" t="inlineStr">
        <is>
          <t>ANULAÇÃO PARCIAL MOTIVO: SALDO DE EMPENHO</t>
        </is>
      </c>
    </row>
    <row r="355">
      <c r="A355" t="inlineStr">
        <is>
          <t>2025NE0004343</t>
        </is>
      </c>
      <c r="B355" t="inlineStr"/>
      <c r="C355" t="inlineStr">
        <is>
          <t>07/08/2025</t>
        </is>
      </c>
      <c r="D355" t="n">
        <v>332374.3</v>
      </c>
      <c r="E355" t="inlineStr">
        <is>
          <t>Ativo</t>
        </is>
      </c>
      <c r="F355" t="inlineStr">
        <is>
          <t>ANULAÇÃO PARCIAL MOTIVO: SALDO DE EMPENHO</t>
        </is>
      </c>
    </row>
    <row r="356">
      <c r="A356" t="inlineStr">
        <is>
          <t>2026NE0000411</t>
        </is>
      </c>
      <c r="B356" t="inlineStr">
        <is>
          <t>5/2021</t>
        </is>
      </c>
      <c r="C356" t="inlineStr">
        <is>
          <t>07/02/2026</t>
        </is>
      </c>
      <c r="D356" t="n">
        <v>36112.42</v>
      </c>
      <c r="E356" t="inlineStr">
        <is>
          <t>Ativo</t>
        </is>
      </c>
      <c r="F356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57">
      <c r="A357" t="inlineStr">
        <is>
          <t>2021NE0003924</t>
        </is>
      </c>
      <c r="B357" t="inlineStr">
        <is>
          <t>54/2018</t>
        </is>
      </c>
      <c r="C357" t="inlineStr">
        <is>
          <t>06/11/2021</t>
        </is>
      </c>
      <c r="D357" t="n">
        <v>131871.28</v>
      </c>
      <c r="E357" t="inlineStr">
        <is>
          <t>Ativo</t>
        </is>
      </c>
      <c r="F357" t="inlineStr">
        <is>
          <t>Contratação dos os Serviços PRODAM-RH visando manter o cadastro servidores e folha de pagamento de pessoal, processar folha de pagamento e fornece relatórios para efetivação de pagamento</t>
        </is>
      </c>
    </row>
    <row r="358">
      <c r="A358" t="inlineStr">
        <is>
          <t>2021NE0003549</t>
        </is>
      </c>
      <c r="B358" t="inlineStr"/>
      <c r="C358" t="inlineStr">
        <is>
          <t>06/10/2021</t>
        </is>
      </c>
      <c r="D358" t="n">
        <v>245797.49</v>
      </c>
      <c r="E358" t="inlineStr">
        <is>
          <t>Ativo</t>
        </is>
      </c>
      <c r="F358">
        <f>RI: 2021RI0000668; =SEM COBERTURA CONTRATUAL; =COMUNICAÇÃO DE DADOS; =SES-AM; =PERÍODO: 01 A 31/03/2021.</f>
        <v/>
      </c>
    </row>
    <row r="359">
      <c r="A359" t="inlineStr">
        <is>
          <t>2024NE0004059</t>
        </is>
      </c>
      <c r="B359" t="inlineStr">
        <is>
          <t>21/2021</t>
        </is>
      </c>
      <c r="C359" t="inlineStr">
        <is>
          <t>06/08/2024</t>
        </is>
      </c>
      <c r="D359" t="n">
        <v>1000</v>
      </c>
      <c r="E359" t="inlineStr">
        <is>
          <t>Ativo</t>
        </is>
      </c>
      <c r="F359" t="inlineStr">
        <is>
          <t>Contratação da prestação de serviços de fornecimento de circuito de transmissão de dados com link ponto a ponto entre as unidades da SES-AM TC: 0021/2021 AD: 03.</t>
        </is>
      </c>
    </row>
    <row r="360">
      <c r="A360" t="inlineStr">
        <is>
          <t>2020NE01897</t>
        </is>
      </c>
      <c r="B360" t="inlineStr">
        <is>
          <t>54/2018</t>
        </is>
      </c>
      <c r="C360" t="inlineStr">
        <is>
          <t>06/07/2020</t>
        </is>
      </c>
      <c r="D360" t="n">
        <v>131871.28</v>
      </c>
      <c r="E360" t="inlineStr">
        <is>
          <t>Ativo</t>
        </is>
      </c>
      <c r="F360" t="inlineStr">
        <is>
          <t xml:space="preserve">Por força deste Contrato a CONTRATADA obriga-se a prestar para a CONTRATANTE os Serviços PRODAM-RH visando manter o cadastro servidores e folha de pagamento de pessoal, processar folha de pagamento e </t>
        </is>
      </c>
    </row>
    <row r="361">
      <c r="A361" t="inlineStr">
        <is>
          <t>2026NE0000945</t>
        </is>
      </c>
      <c r="B361" t="inlineStr">
        <is>
          <t>21/2021</t>
        </is>
      </c>
      <c r="C361" t="inlineStr">
        <is>
          <t>06/03/2026</t>
        </is>
      </c>
      <c r="D361" t="n">
        <v>289705.28</v>
      </c>
      <c r="E361" t="inlineStr">
        <is>
          <t>Ativo</t>
        </is>
      </c>
      <c r="F361">
        <f>TERMO DE CONTRATO 021/2021;=VIGÊNCIA: 12/08/2024 A 12/08/2025; =SERVIÇOS DE FORNECIMENTO DE CIRCUITO DE TRANSMISSÃO DE DADOS; =SES/AM; =PERÍODO: SETEMBRO/2025</f>
        <v/>
      </c>
    </row>
    <row r="362">
      <c r="A362" t="inlineStr">
        <is>
          <t>2026NE0000939</t>
        </is>
      </c>
      <c r="B362" t="inlineStr">
        <is>
          <t>5/2021</t>
        </is>
      </c>
      <c r="C362" t="inlineStr">
        <is>
          <t>06/03/2026</t>
        </is>
      </c>
      <c r="D362" t="n">
        <v>36112.42</v>
      </c>
      <c r="E362" t="inlineStr">
        <is>
          <t>Ativo</t>
        </is>
      </c>
      <c r="F36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63">
      <c r="A363" t="inlineStr">
        <is>
          <t>2020NE00742</t>
        </is>
      </c>
      <c r="B363" t="inlineStr">
        <is>
          <t>54/2018</t>
        </is>
      </c>
      <c r="C363" t="inlineStr">
        <is>
          <t>06/03/2020</t>
        </is>
      </c>
      <c r="D363" t="n">
        <v>122306.88</v>
      </c>
      <c r="E363" t="inlineStr">
        <is>
          <t>Ativo</t>
        </is>
      </c>
      <c r="F363">
        <f>RECONHECIMENTO DE DÍVIDA 2020RD00368; =PRIMEIRO TERMO ADITIVO AO CONTRATO N. 054/18-SUSAM; =VIGÊNCIA: 09/07/2019 A 08/07/2020; = PRESTAÇÃO E SERVIÇOS PRODAM-RH VISANDO MANTER O CADASTRO DOS SERVIDORE</f>
        <v/>
      </c>
    </row>
    <row r="364">
      <c r="A364" t="inlineStr">
        <is>
          <t>2018NE04256</t>
        </is>
      </c>
      <c r="B364" t="inlineStr"/>
      <c r="C364" t="inlineStr">
        <is>
          <t>05/10/2018</t>
        </is>
      </c>
      <c r="D364" t="n">
        <v>292752.87</v>
      </c>
      <c r="E364" t="inlineStr">
        <is>
          <t>Ativo</t>
        </is>
      </c>
      <c r="F364" t="inlineStr">
        <is>
          <t>SERVIÇOS DE EMPRESA ESPECIALIZADA PARA IMPLEMENTAÇÃO DE MELHORIAS QUALITATIVAS E DISPONIBILIDADE, CONFIABILIDADE, ESCALABILIDADE E MANUTENÇÃO DA REDE DE DADOS E AINDA ATENDER AS NECESSIDADES DE COMUNI</t>
        </is>
      </c>
    </row>
    <row r="365">
      <c r="A365" t="inlineStr">
        <is>
          <t>2022NE0002942</t>
        </is>
      </c>
      <c r="B365" t="inlineStr">
        <is>
          <t>21/2021</t>
        </is>
      </c>
      <c r="C365" t="inlineStr">
        <is>
          <t>05/08/2022</t>
        </is>
      </c>
      <c r="D365" t="n">
        <v>401673.46</v>
      </c>
      <c r="E365" t="inlineStr">
        <is>
          <t>Ativo</t>
        </is>
      </c>
      <c r="F365" t="inlineStr">
        <is>
          <t>Serviços de Fornecimento de Circuito de Transmissão de Dados com Link ponto a ponto entre as Unidades da SES-AM, SES-AM e a PRODAM, para acesso aos serviços contratados residentes no Data Center do Es</t>
        </is>
      </c>
    </row>
    <row r="366">
      <c r="A366" t="inlineStr">
        <is>
          <t>2021NE0002563</t>
        </is>
      </c>
      <c r="B366" t="inlineStr">
        <is>
          <t>54/2018</t>
        </is>
      </c>
      <c r="C366" t="inlineStr">
        <is>
          <t>05/08/2021</t>
        </is>
      </c>
      <c r="D366" t="n">
        <v>97965.13</v>
      </c>
      <c r="E366" t="inlineStr">
        <is>
          <t>Ativo</t>
        </is>
      </c>
      <c r="F366" t="inlineStr">
        <is>
          <t>REFORÇO DA NOTA DE EMPENHO Nº 2175/2021</t>
        </is>
      </c>
    </row>
    <row r="367">
      <c r="A367" t="inlineStr">
        <is>
          <t>2021NE0002137</t>
        </is>
      </c>
      <c r="B367" t="inlineStr">
        <is>
          <t>54/2018</t>
        </is>
      </c>
      <c r="C367" t="inlineStr">
        <is>
          <t>05/07/2021</t>
        </is>
      </c>
      <c r="D367" t="n">
        <v>263742.56</v>
      </c>
      <c r="E367" t="inlineStr">
        <is>
          <t>Ativo</t>
        </is>
      </c>
      <c r="F367" t="inlineStr">
        <is>
          <t xml:space="preserve">Por força deste Contrato a CONTRATADA obriga-se a prestar para a CONTRATANTE os Serviços PRODAM-RH visando manter o cadastro servidores e folha de pagamento de pessoal, processar folha de pagamento e </t>
        </is>
      </c>
    </row>
    <row r="368">
      <c r="A368" t="inlineStr">
        <is>
          <t>2025NE0003167</t>
        </is>
      </c>
      <c r="B368" t="inlineStr">
        <is>
          <t>18/2024</t>
        </is>
      </c>
      <c r="C368" t="inlineStr">
        <is>
          <t>05/06/2025</t>
        </is>
      </c>
      <c r="D368" t="n">
        <v>146012.35</v>
      </c>
      <c r="E368" t="inlineStr">
        <is>
          <t>Ativo</t>
        </is>
      </c>
      <c r="F368" t="inlineStr">
        <is>
          <t>Contratação de pessoa jurídica especializada para prestação de serviços PRODAM-RH a fim de atender as necessidades da Secretaria de Estado de Saúde – SES/AM</t>
        </is>
      </c>
    </row>
    <row r="369">
      <c r="A369" t="inlineStr">
        <is>
          <t>2025NE0003168</t>
        </is>
      </c>
      <c r="B369" t="inlineStr">
        <is>
          <t>21/2021</t>
        </is>
      </c>
      <c r="C369" t="inlineStr">
        <is>
          <t>05/06/2025</t>
        </is>
      </c>
      <c r="D369" t="n">
        <v>315103.97</v>
      </c>
      <c r="E369" t="inlineStr">
        <is>
          <t>Ativo</t>
        </is>
      </c>
      <c r="F369" t="inlineStr">
        <is>
          <t>Contratação da prestação de serviços de fornecimento de circuito de transmissão de dados com link ponto a ponto entre as unidades da SES-AM TC: 0021/2021 AD: 03.</t>
        </is>
      </c>
    </row>
    <row r="370">
      <c r="A370" t="inlineStr">
        <is>
          <t>2016NE01603</t>
        </is>
      </c>
      <c r="B370" t="inlineStr">
        <is>
          <t>116/2013</t>
        </is>
      </c>
      <c r="C370" t="inlineStr">
        <is>
          <t>05/05/2016</t>
        </is>
      </c>
      <c r="D370" t="n">
        <v>154015.78</v>
      </c>
      <c r="E370" t="inlineStr">
        <is>
          <t>Ativo</t>
        </is>
      </c>
      <c r="F370">
        <f>REFERENTE AO SEGUNDO TERMO ADITIVO AO CONTRATO Nº 116/13, PERÍODO MARÇO DE 2016.</f>
        <v/>
      </c>
    </row>
    <row r="371">
      <c r="A371" t="inlineStr">
        <is>
          <t>2016NE01785</t>
        </is>
      </c>
      <c r="B371" t="inlineStr">
        <is>
          <t>2/2015</t>
        </is>
      </c>
      <c r="C371" t="inlineStr">
        <is>
          <t>05/05/2016</t>
        </is>
      </c>
      <c r="D371" t="n">
        <v>268722.93</v>
      </c>
      <c r="E371" t="inlineStr">
        <is>
          <t>Ativo</t>
        </is>
      </c>
      <c r="F371">
        <f>REFERENTE AO SEGUNDO TERMO ADITIVO AO CONTRATO Nº 002/15, PERÍODO DE MARÇO DE 2016.</f>
        <v/>
      </c>
    </row>
    <row r="372">
      <c r="A372" t="inlineStr">
        <is>
          <t>2016NE01600</t>
        </is>
      </c>
      <c r="B372" t="inlineStr">
        <is>
          <t>81/2010</t>
        </is>
      </c>
      <c r="C372" t="inlineStr">
        <is>
          <t>05/05/2016</t>
        </is>
      </c>
      <c r="D372" t="n">
        <v>104884.8</v>
      </c>
      <c r="E372" t="inlineStr">
        <is>
          <t>Ativo</t>
        </is>
      </c>
      <c r="F372">
        <f>QUINTO TERMO ADITIVO AO CONTRATO Nº 081/10, PERÍODO MARÇO DE 2016.</f>
        <v/>
      </c>
    </row>
    <row r="373">
      <c r="A373" t="inlineStr">
        <is>
          <t>2026NE0000923</t>
        </is>
      </c>
      <c r="B373" t="inlineStr"/>
      <c r="C373" t="inlineStr">
        <is>
          <t>05/03/2026</t>
        </is>
      </c>
      <c r="D373" t="n">
        <v>36112.42</v>
      </c>
      <c r="E373" t="inlineStr">
        <is>
          <t>Ativo</t>
        </is>
      </c>
      <c r="F373">
        <f>ANULAÇAO TOTAL =MOTIVO RETER ISS, NA RD</f>
        <v/>
      </c>
    </row>
    <row r="374">
      <c r="A374" t="inlineStr">
        <is>
          <t>2024NE0000421</t>
        </is>
      </c>
      <c r="B374" t="inlineStr">
        <is>
          <t>5/2021</t>
        </is>
      </c>
      <c r="C374" t="inlineStr">
        <is>
          <t>05/02/2024</t>
        </is>
      </c>
      <c r="D374" t="n">
        <v>36112.42</v>
      </c>
      <c r="E374" t="inlineStr">
        <is>
          <t>Ativo</t>
        </is>
      </c>
      <c r="F374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75">
      <c r="A375" t="inlineStr">
        <is>
          <t>2026NE0000053</t>
        </is>
      </c>
      <c r="B375" t="inlineStr">
        <is>
          <t>21/2021</t>
        </is>
      </c>
      <c r="C375" t="inlineStr">
        <is>
          <t>05/01/2026</t>
        </is>
      </c>
      <c r="D375" t="n">
        <v>315103.83</v>
      </c>
      <c r="E375" t="inlineStr">
        <is>
          <t>Ativo</t>
        </is>
      </c>
      <c r="F375" t="inlineStr">
        <is>
          <t>Contratação da prestação de serviços de fornecimento de circuito de transmissão de dados com link ponto a ponto entre as unidades da SES-AM TC: 0021/2021 AD: 05.</t>
        </is>
      </c>
    </row>
    <row r="376">
      <c r="A376" t="inlineStr">
        <is>
          <t>2026NE0000055</t>
        </is>
      </c>
      <c r="B376" t="inlineStr">
        <is>
          <t>18/2024</t>
        </is>
      </c>
      <c r="C376" t="inlineStr">
        <is>
          <t>05/01/2026</t>
        </is>
      </c>
      <c r="D376" t="n">
        <v>146012.35</v>
      </c>
      <c r="E376" t="inlineStr">
        <is>
          <t>Ativo</t>
        </is>
      </c>
      <c r="F376" t="inlineStr">
        <is>
          <t>Contratação de pessoa jurídica especializada para prestação de serviços PRODAM-RH a fim de atender as necessidades da Secretaria de Estado de Saúde – SES/AM</t>
        </is>
      </c>
    </row>
    <row r="377">
      <c r="A377" t="inlineStr">
        <is>
          <t>2026NE0000073</t>
        </is>
      </c>
      <c r="B377" t="inlineStr">
        <is>
          <t>5/2021</t>
        </is>
      </c>
      <c r="C377" t="inlineStr">
        <is>
          <t>05/01/2026</t>
        </is>
      </c>
      <c r="D377" t="n">
        <v>36112.42</v>
      </c>
      <c r="E377" t="inlineStr">
        <is>
          <t>Ativo</t>
        </is>
      </c>
      <c r="F377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78">
      <c r="A378" t="inlineStr">
        <is>
          <t>2015NE00283</t>
        </is>
      </c>
      <c r="B378" t="inlineStr">
        <is>
          <t>81/2010</t>
        </is>
      </c>
      <c r="C378" t="inlineStr">
        <is>
          <t>05/01/2015</t>
        </is>
      </c>
      <c r="D378" t="n">
        <v>209769.6</v>
      </c>
      <c r="E378" t="inlineStr">
        <is>
          <t>Ativo</t>
        </is>
      </c>
      <c r="F378" t="inlineStr">
        <is>
          <t>cobertura financeira 2015</t>
        </is>
      </c>
    </row>
    <row r="379">
      <c r="A379" t="inlineStr">
        <is>
          <t>2015NE00316</t>
        </is>
      </c>
      <c r="B379" t="inlineStr">
        <is>
          <t>116/2013</t>
        </is>
      </c>
      <c r="C379" t="inlineStr">
        <is>
          <t>05/01/2015</t>
        </is>
      </c>
      <c r="D379" t="n">
        <v>439292</v>
      </c>
      <c r="E379" t="inlineStr">
        <is>
          <t>Ativo</t>
        </is>
      </c>
      <c r="F379" t="inlineStr">
        <is>
          <t>Cobertura financeira 2015</t>
        </is>
      </c>
    </row>
    <row r="380">
      <c r="A380" t="inlineStr">
        <is>
          <t>2015NE00511</t>
        </is>
      </c>
      <c r="B380" t="inlineStr">
        <is>
          <t>2/2015</t>
        </is>
      </c>
      <c r="C380" t="inlineStr">
        <is>
          <t>05/01/2015</t>
        </is>
      </c>
      <c r="D380" t="n">
        <v>628386.37</v>
      </c>
      <c r="E380" t="inlineStr">
        <is>
          <t>Ativo</t>
        </is>
      </c>
      <c r="F380" t="inlineStr">
        <is>
          <t>Empenho de contrato: importado manualmente em 21/09/2015</t>
        </is>
      </c>
    </row>
    <row r="381">
      <c r="A381" t="inlineStr">
        <is>
          <t>2024NE0006301</t>
        </is>
      </c>
      <c r="B381" t="inlineStr"/>
      <c r="C381" t="inlineStr">
        <is>
          <t>04/12/2024</t>
        </is>
      </c>
      <c r="D381" t="n">
        <v>337967.85</v>
      </c>
      <c r="E381" t="inlineStr">
        <is>
          <t>Ativo</t>
        </is>
      </c>
      <c r="F381">
        <f>ANULAÇAO PARCIAL DA NE =MOTIVO SALDO DE EMPENHO</f>
        <v/>
      </c>
    </row>
    <row r="382">
      <c r="A382" t="inlineStr">
        <is>
          <t>2025NE0003724</t>
        </is>
      </c>
      <c r="B382" t="inlineStr"/>
      <c r="C382" t="inlineStr">
        <is>
          <t>04/07/2025</t>
        </is>
      </c>
      <c r="D382" t="n">
        <v>31920.75</v>
      </c>
      <c r="E382" t="inlineStr">
        <is>
          <t>Ativo</t>
        </is>
      </c>
      <c r="F382">
        <f>ANULAÇÃO PARCIAL DA NE 2697/2025 =MOTIVO: SALDO DE EMPENHO</f>
        <v/>
      </c>
    </row>
    <row r="383">
      <c r="A383" t="inlineStr">
        <is>
          <t>2024NE0003459</t>
        </is>
      </c>
      <c r="B383" t="inlineStr">
        <is>
          <t>21/2021</t>
        </is>
      </c>
      <c r="C383" t="inlineStr">
        <is>
          <t>04/07/2024</t>
        </is>
      </c>
      <c r="D383" t="n">
        <v>325367.97</v>
      </c>
      <c r="E383" t="inlineStr">
        <is>
          <t>Ativo</t>
        </is>
      </c>
      <c r="F383" t="inlineStr">
        <is>
          <t>Contratação da prestação de serviços de fornecimento de circuito de transmissão de dados com link ponto a ponto entre as unidades da SES-AM TC: 0021/2021 AD: 02.</t>
        </is>
      </c>
    </row>
    <row r="384">
      <c r="A384" t="inlineStr">
        <is>
          <t>2024NE0003460</t>
        </is>
      </c>
      <c r="B384" t="inlineStr">
        <is>
          <t>54/2018</t>
        </is>
      </c>
      <c r="C384" t="inlineStr">
        <is>
          <t>04/07/2024</t>
        </is>
      </c>
      <c r="D384" t="n">
        <v>146012.35</v>
      </c>
      <c r="E384" t="inlineStr">
        <is>
          <t>Ativo</t>
        </is>
      </c>
      <c r="F384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385">
      <c r="A385" t="inlineStr">
        <is>
          <t>2024NE0003456</t>
        </is>
      </c>
      <c r="B385" t="inlineStr">
        <is>
          <t>5/2021</t>
        </is>
      </c>
      <c r="C385" t="inlineStr">
        <is>
          <t>04/07/2024</t>
        </is>
      </c>
      <c r="D385" t="n">
        <v>36112.42</v>
      </c>
      <c r="E385" t="inlineStr">
        <is>
          <t>Ativo</t>
        </is>
      </c>
      <c r="F385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386">
      <c r="A386" t="inlineStr">
        <is>
          <t>2024NE0003458</t>
        </is>
      </c>
      <c r="B386" t="inlineStr">
        <is>
          <t>18/2021</t>
        </is>
      </c>
      <c r="C386" t="inlineStr">
        <is>
          <t>04/07/2024</t>
        </is>
      </c>
      <c r="D386" t="n">
        <v>352859.47</v>
      </c>
      <c r="E386" t="inlineStr">
        <is>
          <t>Ativo</t>
        </is>
      </c>
      <c r="F386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87">
      <c r="A387" t="inlineStr">
        <is>
          <t>2024NE0003457</t>
        </is>
      </c>
      <c r="B387" t="inlineStr">
        <is>
          <t>18/2021</t>
        </is>
      </c>
      <c r="C387" t="inlineStr">
        <is>
          <t>04/07/2024</t>
        </is>
      </c>
      <c r="D387" t="n">
        <v>287421.95</v>
      </c>
      <c r="E387" t="inlineStr">
        <is>
          <t>Ativo</t>
        </is>
      </c>
      <c r="F387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88">
      <c r="A388" t="inlineStr">
        <is>
          <t>2023NE0002442</t>
        </is>
      </c>
      <c r="B388" t="inlineStr">
        <is>
          <t>54/2018</t>
        </is>
      </c>
      <c r="C388" t="inlineStr">
        <is>
          <t>04/07/2023</t>
        </is>
      </c>
      <c r="D388" t="n">
        <v>146012.35</v>
      </c>
      <c r="E388" t="inlineStr">
        <is>
          <t>Ativo</t>
        </is>
      </c>
      <c r="F388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389">
      <c r="A389" t="inlineStr">
        <is>
          <t>2015NE02153</t>
        </is>
      </c>
      <c r="B389" t="inlineStr">
        <is>
          <t>116/2013</t>
        </is>
      </c>
      <c r="C389" t="inlineStr">
        <is>
          <t>04/05/2015</t>
        </is>
      </c>
      <c r="D389" t="n">
        <v>22215.58</v>
      </c>
      <c r="E389" t="inlineStr">
        <is>
          <t>Ativo</t>
        </is>
      </c>
      <c r="F389">
        <f>ANULAÇÃO PARCIAL DA NE 316/15 =MOTIVO: SALDO DE EMPENHO</f>
        <v/>
      </c>
    </row>
    <row r="390">
      <c r="A390" t="inlineStr">
        <is>
          <t>2015NE02152</t>
        </is>
      </c>
      <c r="B390" t="inlineStr">
        <is>
          <t>2/2015</t>
        </is>
      </c>
      <c r="C390" t="inlineStr">
        <is>
          <t>04/05/2015</t>
        </is>
      </c>
      <c r="D390" t="n">
        <v>27835.86</v>
      </c>
      <c r="E390" t="inlineStr">
        <is>
          <t>Ativo</t>
        </is>
      </c>
      <c r="F390">
        <f>ANULAÇÃO PARCIAL DA NE 511/15 =MOTIVO: SALDO DE EMPENHO</f>
        <v/>
      </c>
    </row>
    <row r="391">
      <c r="A391" t="inlineStr">
        <is>
          <t>2026NE0000900</t>
        </is>
      </c>
      <c r="B391" t="inlineStr">
        <is>
          <t>18/2021</t>
        </is>
      </c>
      <c r="C391" t="inlineStr">
        <is>
          <t>04/03/2026</t>
        </is>
      </c>
      <c r="D391" t="n">
        <v>525473.35</v>
      </c>
      <c r="E391" t="inlineStr">
        <is>
          <t>Ativo</t>
        </is>
      </c>
      <c r="F391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92">
      <c r="A392" t="inlineStr">
        <is>
          <t>2026NE0000885</t>
        </is>
      </c>
      <c r="B392" t="inlineStr">
        <is>
          <t>21/2021</t>
        </is>
      </c>
      <c r="C392" t="inlineStr">
        <is>
          <t>04/03/2026</t>
        </is>
      </c>
      <c r="D392" t="n">
        <v>291695.42</v>
      </c>
      <c r="E392" t="inlineStr">
        <is>
          <t>Ativo</t>
        </is>
      </c>
      <c r="F392">
        <f>QUARTO TERMO ADITIVO AO CONTRATO 021/2021;=VIGÊNCIA: 12/08/2024 A 12/08/2025; =SERVIÇOS DE FORNECIMENTO DE CIRCUITO DE TRANSMISSÃO DE DADOS; =SES/AM; =PERÍODO: JULHO/2025</f>
        <v/>
      </c>
    </row>
    <row r="393">
      <c r="A393" t="inlineStr">
        <is>
          <t>2026NE0000886</t>
        </is>
      </c>
      <c r="B393" t="inlineStr">
        <is>
          <t>21/2021</t>
        </is>
      </c>
      <c r="C393" t="inlineStr">
        <is>
          <t>04/03/2026</t>
        </is>
      </c>
      <c r="D393" t="n">
        <v>183480.02</v>
      </c>
      <c r="E393" t="inlineStr">
        <is>
          <t>Ativo</t>
        </is>
      </c>
      <c r="F393" t="inlineStr">
        <is>
          <t>Contratação da prestação de serviços de fornecimento de circuito de transmissão de dados com link ponto a ponto entre as unidades da SES-AM TC: 0021/2021 AD: 05.</t>
        </is>
      </c>
    </row>
    <row r="394">
      <c r="A394" t="inlineStr">
        <is>
          <t>2026NE0000897</t>
        </is>
      </c>
      <c r="B394" t="inlineStr">
        <is>
          <t>18/2021</t>
        </is>
      </c>
      <c r="C394" t="inlineStr">
        <is>
          <t>04/03/2026</t>
        </is>
      </c>
      <c r="D394" t="n">
        <v>153026.53</v>
      </c>
      <c r="E394" t="inlineStr">
        <is>
          <t>Ativo</t>
        </is>
      </c>
      <c r="F394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95">
      <c r="A395" t="inlineStr">
        <is>
          <t>2026NE0000899</t>
        </is>
      </c>
      <c r="B395" t="inlineStr">
        <is>
          <t>18/2021</t>
        </is>
      </c>
      <c r="C395" t="inlineStr">
        <is>
          <t>04/03/2026</t>
        </is>
      </c>
      <c r="D395" t="n">
        <v>254521.65</v>
      </c>
      <c r="E395" t="inlineStr">
        <is>
          <t>Ativo</t>
        </is>
      </c>
      <c r="F395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396">
      <c r="A396" t="inlineStr">
        <is>
          <t>2021NE0000411</t>
        </is>
      </c>
      <c r="B396" t="inlineStr"/>
      <c r="C396" t="inlineStr">
        <is>
          <t>04/02/2021</t>
        </is>
      </c>
      <c r="D396" t="n">
        <v>1105046.04</v>
      </c>
      <c r="E396" t="inlineStr">
        <is>
          <t>Ativo</t>
        </is>
      </c>
      <c r="F396">
        <f>RD: 2021RD0000187; =FORNECIMENTO DE CIRCUITO DE TRANSMISSÃO DE DADOS, COM LINK PONTO A PONTO 3MB, ACESSO À REDE, FIREWALL; =SUSAM; =SETEMBRO A DEZEMBRO/2014.</f>
        <v/>
      </c>
    </row>
    <row r="397">
      <c r="A397" t="inlineStr">
        <is>
          <t>2021NE0000412</t>
        </is>
      </c>
      <c r="B397" t="inlineStr"/>
      <c r="C397" t="inlineStr">
        <is>
          <t>04/02/2021</t>
        </is>
      </c>
      <c r="D397" t="n">
        <v>198620.68</v>
      </c>
      <c r="E397" t="inlineStr">
        <is>
          <t>Ativo</t>
        </is>
      </c>
      <c r="F397">
        <f>RD: 2021RD0000188; =SEM COBERTURA CONTRATUAL; =FORNECIMENTO DE CIRCUITO DE TRANSMISSÃO DE DADOS, LINK PONTO A PONTO 3MB, ACESSO À REDE, FIREWALL; =SUSAM; =DEZEMBRO/2014.</f>
        <v/>
      </c>
    </row>
    <row r="398">
      <c r="A398" t="inlineStr">
        <is>
          <t>2021NE0000199</t>
        </is>
      </c>
      <c r="B398" t="inlineStr">
        <is>
          <t>54/2018</t>
        </is>
      </c>
      <c r="C398" t="inlineStr">
        <is>
          <t>04/01/2021</t>
        </is>
      </c>
      <c r="D398" t="n">
        <v>395613.84</v>
      </c>
      <c r="E398" t="inlineStr">
        <is>
          <t>Ativo</t>
        </is>
      </c>
      <c r="F398" t="inlineStr">
        <is>
          <t xml:space="preserve">Por força deste Contrato a CONTRATADA obriga-se a prestar para a CONTRATANTE os Serviços PRODAM-RH visando manter o cadastro servidores e folha de pagamento de pessoal, processar folha de pagamento e </t>
        </is>
      </c>
    </row>
    <row r="399">
      <c r="A399" t="inlineStr">
        <is>
          <t>2025NE0006688</t>
        </is>
      </c>
      <c r="B399" t="inlineStr">
        <is>
          <t>21/2021</t>
        </is>
      </c>
      <c r="C399" t="inlineStr">
        <is>
          <t>03/11/2025</t>
        </is>
      </c>
      <c r="D399" t="n">
        <v>304085.45</v>
      </c>
      <c r="E399" t="inlineStr">
        <is>
          <t>Ativo</t>
        </is>
      </c>
      <c r="F399">
        <f>SEGUNDO TERMO ADITIVO AO CONTRATO Nº 021/2021;=VIGÊNCIA: 12/08/2023 A 11/08/2024; =FORNECIMENTO DE CIRCUITO DE TRANSMISSÃO DE DADOS COM LINK PONTO A PONTO, ACESSO GERENCIADO À REDE MUNDIAL, SERVIÇO D</f>
        <v/>
      </c>
    </row>
    <row r="400">
      <c r="A400" t="inlineStr">
        <is>
          <t>2024NE0003437</t>
        </is>
      </c>
      <c r="B400" t="inlineStr"/>
      <c r="C400" t="inlineStr">
        <is>
          <t>03/07/2024</t>
        </is>
      </c>
      <c r="D400" t="n">
        <v>42565.04</v>
      </c>
      <c r="E400" t="inlineStr">
        <is>
          <t>Ativo</t>
        </is>
      </c>
      <c r="F400">
        <f>ANULAÇAO PARCIAL =MOTIVO: SALDO DE EMPENHO</f>
        <v/>
      </c>
    </row>
    <row r="401">
      <c r="A401" t="inlineStr">
        <is>
          <t>2024NE0003435</t>
        </is>
      </c>
      <c r="B401" t="inlineStr"/>
      <c r="C401" t="inlineStr">
        <is>
          <t>03/07/2024</t>
        </is>
      </c>
      <c r="D401" t="n">
        <v>38378.37</v>
      </c>
      <c r="E401" t="inlineStr">
        <is>
          <t>Ativo</t>
        </is>
      </c>
      <c r="F401">
        <f>ANULAÇAO PARCIAL =MOTIVO: SALDO DE EMPENHO</f>
        <v/>
      </c>
    </row>
    <row r="402">
      <c r="A402" t="inlineStr">
        <is>
          <t>2019NE01923</t>
        </is>
      </c>
      <c r="B402" t="inlineStr"/>
      <c r="C402" t="inlineStr">
        <is>
          <t>03/06/2019</t>
        </is>
      </c>
      <c r="D402" t="n">
        <v>292752.87</v>
      </c>
      <c r="E402" t="inlineStr">
        <is>
          <t>Ativo</t>
        </is>
      </c>
      <c r="F402">
        <f>REFORÇO DA NE 579, QUINTO TERMO ADITIVO AO CONTRATO Nº 002/2015</f>
        <v/>
      </c>
    </row>
    <row r="403">
      <c r="A403" t="inlineStr">
        <is>
          <t>2019NE01920</t>
        </is>
      </c>
      <c r="B403" t="inlineStr"/>
      <c r="C403" t="inlineStr">
        <is>
          <t>03/06/2019</t>
        </is>
      </c>
      <c r="D403" t="n">
        <v>122306.88</v>
      </c>
      <c r="E403" t="inlineStr">
        <is>
          <t>Ativo</t>
        </is>
      </c>
      <c r="F403" t="inlineStr">
        <is>
          <t>REFORÇO DA NOTA DE EMPENHO Nº 207/2019</t>
        </is>
      </c>
    </row>
    <row r="404">
      <c r="A404" t="inlineStr">
        <is>
          <t>2026NE0000866</t>
        </is>
      </c>
      <c r="B404" t="inlineStr"/>
      <c r="C404" t="inlineStr">
        <is>
          <t>03/03/2026</t>
        </is>
      </c>
      <c r="D404" t="n">
        <v>289705.28</v>
      </c>
      <c r="E404" t="inlineStr">
        <is>
          <t>Ativo</t>
        </is>
      </c>
      <c r="F404" t="inlineStr">
        <is>
          <t>ANULAÇÃO TOTAL</t>
        </is>
      </c>
    </row>
    <row r="405">
      <c r="A405" t="inlineStr">
        <is>
          <t>2026NE0000867</t>
        </is>
      </c>
      <c r="B405" t="inlineStr">
        <is>
          <t>18/2021</t>
        </is>
      </c>
      <c r="C405" t="inlineStr">
        <is>
          <t>03/03/2026</t>
        </is>
      </c>
      <c r="D405" t="n">
        <v>251454.45</v>
      </c>
      <c r="E405" t="inlineStr">
        <is>
          <t>Ativo</t>
        </is>
      </c>
      <c r="F405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406">
      <c r="A406" t="inlineStr">
        <is>
          <t>2026NE0000877</t>
        </is>
      </c>
      <c r="B406" t="inlineStr">
        <is>
          <t>21/2021</t>
        </is>
      </c>
      <c r="C406" t="inlineStr">
        <is>
          <t>03/03/2026</t>
        </is>
      </c>
      <c r="D406" t="n">
        <v>291695.42</v>
      </c>
      <c r="E406" t="inlineStr">
        <is>
          <t>Ativo</t>
        </is>
      </c>
      <c r="F406" t="inlineStr">
        <is>
          <t>Contratação da prestação de serviços de fornecimento de circuito de transmissão de dados com link ponto a ponto entre as unidades da SES-AM TC: 0021/2021 AD: 03</t>
        </is>
      </c>
    </row>
    <row r="407">
      <c r="A407" t="inlineStr">
        <is>
          <t>2026NE0000873</t>
        </is>
      </c>
      <c r="B407" t="inlineStr">
        <is>
          <t>21/2021</t>
        </is>
      </c>
      <c r="C407" t="inlineStr">
        <is>
          <t>03/03/2026</t>
        </is>
      </c>
      <c r="D407" t="n">
        <v>289705.28</v>
      </c>
      <c r="E407" t="inlineStr">
        <is>
          <t>Ativo</t>
        </is>
      </c>
      <c r="F407" t="inlineStr">
        <is>
          <t>Contratação da prestação de serviços de fornecimento de circuito de transmissão de dados com link ponto a ponto entre as unidades da SES-AM TC: 0021/2021 AD: 05.</t>
        </is>
      </c>
    </row>
    <row r="408">
      <c r="A408" t="inlineStr">
        <is>
          <t>2026NE0000870</t>
        </is>
      </c>
      <c r="B408" t="inlineStr">
        <is>
          <t>5/2021</t>
        </is>
      </c>
      <c r="C408" t="inlineStr">
        <is>
          <t>03/03/2026</t>
        </is>
      </c>
      <c r="D408" t="n">
        <v>36112.42</v>
      </c>
      <c r="E408" t="inlineStr">
        <is>
          <t>Ativo</t>
        </is>
      </c>
      <c r="F408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409">
      <c r="A409" t="inlineStr">
        <is>
          <t>2026NE0000871</t>
        </is>
      </c>
      <c r="B409" t="inlineStr">
        <is>
          <t>21/2021</t>
        </is>
      </c>
      <c r="C409" t="inlineStr">
        <is>
          <t>03/03/2026</t>
        </is>
      </c>
      <c r="D409" t="n">
        <v>289705.28</v>
      </c>
      <c r="E409" t="inlineStr">
        <is>
          <t>Ativo</t>
        </is>
      </c>
      <c r="F409">
        <f>TERMO DE CONTRATO 021/2021;=VIGÊNCIA: 12/08/2025 A 12/08/2026; =SERVIÇOS DE FORNECIMENTO DE CIRCUITO DE TRANSMISSÃO DE DADOS; =SES/AM; =PERÍODO: OUTUBRO/2025</f>
        <v/>
      </c>
    </row>
    <row r="410">
      <c r="A410" t="inlineStr">
        <is>
          <t>2023NE0000807</t>
        </is>
      </c>
      <c r="B410" t="inlineStr">
        <is>
          <t>18/2021</t>
        </is>
      </c>
      <c r="C410" t="inlineStr">
        <is>
          <t>03/03/2023</t>
        </is>
      </c>
      <c r="D410" t="n">
        <v>638786.27</v>
      </c>
      <c r="E410" t="inlineStr">
        <is>
          <t>Ativo</t>
        </is>
      </c>
      <c r="F410" t="inlineStr">
        <is>
          <t>REFORÇO DA NOTA DE EMPENHO Nº 269/2023</t>
        </is>
      </c>
    </row>
    <row r="411">
      <c r="A411" t="inlineStr">
        <is>
          <t>2014NE00727</t>
        </is>
      </c>
      <c r="B411" t="inlineStr">
        <is>
          <t>52/2008</t>
        </is>
      </c>
      <c r="C411" t="inlineStr">
        <is>
          <t>03/02/2014</t>
        </is>
      </c>
      <c r="D411" t="n">
        <v>889066.6800000001</v>
      </c>
      <c r="E411" t="inlineStr">
        <is>
          <t>Ativo</t>
        </is>
      </c>
      <c r="F411" t="inlineStr">
        <is>
          <t>Contrato No. 52/2008 - Instalação de Links nas unidades de Saíde</t>
        </is>
      </c>
    </row>
    <row r="412">
      <c r="A412" t="inlineStr">
        <is>
          <t>2014NE00726</t>
        </is>
      </c>
      <c r="B412" t="inlineStr">
        <is>
          <t>51/2008</t>
        </is>
      </c>
      <c r="C412" t="inlineStr">
        <is>
          <t>03/02/2014</t>
        </is>
      </c>
      <c r="D412" t="n">
        <v>66633.92999999999</v>
      </c>
      <c r="E412" t="inlineStr">
        <is>
          <t>Ativo</t>
        </is>
      </c>
      <c r="F412" t="inlineStr">
        <is>
          <t>Contrato No. 51/2008 - Complexo Regulador</t>
        </is>
      </c>
    </row>
    <row r="413">
      <c r="A413" t="inlineStr">
        <is>
          <t>2022NE0000148</t>
        </is>
      </c>
      <c r="B413" t="inlineStr">
        <is>
          <t>5/2021</t>
        </is>
      </c>
      <c r="C413" t="inlineStr">
        <is>
          <t>03/01/2022</t>
        </is>
      </c>
      <c r="D413" t="n">
        <v>34245.6</v>
      </c>
      <c r="E413" t="inlineStr">
        <is>
          <t>Ativo</t>
        </is>
      </c>
      <c r="F413" t="inlineStr">
        <is>
          <t>Contratação de pessoa jurídica especializada em serviço de hospedagem de servidores em ambiente de máquinas virtuais em nuvem, a fim de atender às necessidades de ampliação, atualização e padronização</t>
        </is>
      </c>
    </row>
    <row r="414">
      <c r="A414" t="inlineStr">
        <is>
          <t>2022NE0000123</t>
        </is>
      </c>
      <c r="B414" t="inlineStr">
        <is>
          <t>18/2021</t>
        </is>
      </c>
      <c r="C414" t="inlineStr">
        <is>
          <t>03/01/2022</t>
        </is>
      </c>
      <c r="D414" t="n">
        <v>1703969.43</v>
      </c>
      <c r="E414" t="inlineStr">
        <is>
          <t>Ativo</t>
        </is>
      </c>
      <c r="F414" t="inlineStr">
        <is>
          <t>Contratação de pessoa jurídica especializada em serviços de desenvolvimento de sistemas de informação, serviço de acesso, consultoria/assessoria e produção de repositórios e armazéns de dados (DataWar</t>
        </is>
      </c>
    </row>
    <row r="415">
      <c r="A415" t="inlineStr">
        <is>
          <t>2022NE0000127</t>
        </is>
      </c>
      <c r="B415" t="inlineStr">
        <is>
          <t>21/2021</t>
        </is>
      </c>
      <c r="C415" t="inlineStr">
        <is>
          <t>03/01/2022</t>
        </is>
      </c>
      <c r="D415" t="n">
        <v>881722.23</v>
      </c>
      <c r="E415" t="inlineStr">
        <is>
          <t>Ativo</t>
        </is>
      </c>
      <c r="F415" t="inlineStr">
        <is>
          <t>Serviços de Fornecimento de Circuito de Transmissão de Dados com Link ponto a ponto entre as Unidades da SES-AM, SES-AM e a PRODAM, para acesso aos serviços contratados residentes no Data Center do Es</t>
        </is>
      </c>
    </row>
    <row r="416">
      <c r="A416" t="inlineStr">
        <is>
          <t>2022NE0000055</t>
        </is>
      </c>
      <c r="B416" t="inlineStr">
        <is>
          <t>54/2018</t>
        </is>
      </c>
      <c r="C416" t="inlineStr">
        <is>
          <t>03/01/2022</t>
        </is>
      </c>
      <c r="D416" t="n">
        <v>395613.84</v>
      </c>
      <c r="E416" t="inlineStr">
        <is>
          <t>Ativo</t>
        </is>
      </c>
      <c r="F416" t="inlineStr">
        <is>
          <t>Contratação dos os Serviços PRODAM-RH visando manter o cadastro servidores e folha de pagamento de pessoal, processar folha de pagamento e fornece relatórios para efetivação de pagamento</t>
        </is>
      </c>
    </row>
    <row r="417">
      <c r="A417" t="inlineStr">
        <is>
          <t>2024NE0001875</t>
        </is>
      </c>
      <c r="B417" t="inlineStr"/>
      <c r="C417" t="inlineStr">
        <is>
          <t>02/05/2024</t>
        </is>
      </c>
      <c r="D417" t="n">
        <v>21282.52</v>
      </c>
      <c r="E417" t="inlineStr">
        <is>
          <t>Ativo</t>
        </is>
      </c>
      <c r="F417">
        <f>ANULAÇÃO PARCIAL DA NOTA DE EMPENHO =MOTIVO: SALDO DE EMPENHO</f>
        <v/>
      </c>
    </row>
    <row r="418">
      <c r="A418" t="inlineStr">
        <is>
          <t>2024NE0001913</t>
        </is>
      </c>
      <c r="B418" t="inlineStr"/>
      <c r="C418" t="inlineStr">
        <is>
          <t>02/05/2024</t>
        </is>
      </c>
      <c r="D418" t="n">
        <v>21282.52</v>
      </c>
      <c r="E418" t="inlineStr">
        <is>
          <t>Ativo</t>
        </is>
      </c>
      <c r="F418">
        <f>ANULAÇÃO PACIAL =MOTIVO: SALDO DE EMPENO</f>
        <v/>
      </c>
    </row>
    <row r="419">
      <c r="A419" t="inlineStr">
        <is>
          <t>2024NE0001872</t>
        </is>
      </c>
      <c r="B419" t="inlineStr"/>
      <c r="C419" t="inlineStr">
        <is>
          <t>02/05/2024</t>
        </is>
      </c>
      <c r="D419" t="n">
        <v>226930.65</v>
      </c>
      <c r="E419" t="inlineStr">
        <is>
          <t>Ativo</t>
        </is>
      </c>
      <c r="F419">
        <f>ANULAÇÃO PARCIAL DA NOTA DE EMPENHO =MOTIVO: SALDO DE EMPENHO</f>
        <v/>
      </c>
    </row>
    <row r="420">
      <c r="A420" t="inlineStr">
        <is>
          <t>2019NE01669</t>
        </is>
      </c>
      <c r="B420" t="inlineStr"/>
      <c r="C420" t="inlineStr">
        <is>
          <t>02/05/2019</t>
        </is>
      </c>
      <c r="D420" t="n">
        <v>122306.88</v>
      </c>
      <c r="E420" t="inlineStr">
        <is>
          <t>Ativo</t>
        </is>
      </c>
      <c r="F420" t="inlineStr">
        <is>
          <t xml:space="preserve">REFORÇO DA NOTA DE EMPENHO Nº 207/2019, REFERENTE AO TERMO DE CONTRATO Nº 054/2018 - SUSAM; =OBJETO: POR FORÇA DESTE CONTRATO A CONTRATADA OBRIGA-SE A PRESTAR PARA A CONTRATANTE OS SERVIÇOS PRODAM-RH </t>
        </is>
      </c>
    </row>
    <row r="421">
      <c r="A421" t="inlineStr">
        <is>
          <t>2019NE01654</t>
        </is>
      </c>
      <c r="B421" t="inlineStr"/>
      <c r="C421" t="inlineStr">
        <is>
          <t>02/05/2019</t>
        </is>
      </c>
      <c r="D421" t="n">
        <v>122306.88</v>
      </c>
      <c r="E421" t="inlineStr">
        <is>
          <t>Ativo</t>
        </is>
      </c>
      <c r="F421">
        <f>ANULAÇÃO PARCIAL DA NOTA DE EMPENHO Nº 0207/2019; =MOTIVO: DESCRIÇÃO INCORRETA</f>
        <v/>
      </c>
    </row>
    <row r="422">
      <c r="A422" t="inlineStr">
        <is>
          <t>2019NE01641</t>
        </is>
      </c>
      <c r="B422" t="inlineStr"/>
      <c r="C422" t="inlineStr">
        <is>
          <t>02/05/2019</t>
        </is>
      </c>
      <c r="D422" t="n">
        <v>122306.88</v>
      </c>
      <c r="E422" t="inlineStr">
        <is>
          <t>Ativo</t>
        </is>
      </c>
      <c r="F422" t="inlineStr">
        <is>
          <t>REFORÇO DA NOTA DE EMPENHO Nº 207/2018</t>
        </is>
      </c>
    </row>
    <row r="423">
      <c r="A423" t="inlineStr">
        <is>
          <t>2026NE0000861</t>
        </is>
      </c>
      <c r="B423" t="inlineStr">
        <is>
          <t>5/2021</t>
        </is>
      </c>
      <c r="C423" t="inlineStr">
        <is>
          <t>02/03/2026</t>
        </is>
      </c>
      <c r="D423" t="n">
        <v>36112.42</v>
      </c>
      <c r="E423" t="inlineStr">
        <is>
          <t>Ativo</t>
        </is>
      </c>
      <c r="F423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424">
      <c r="A424" t="inlineStr">
        <is>
          <t>2026NE0000859</t>
        </is>
      </c>
      <c r="B424" t="inlineStr">
        <is>
          <t>21/2021</t>
        </is>
      </c>
      <c r="C424" t="inlineStr">
        <is>
          <t>02/03/2026</t>
        </is>
      </c>
      <c r="D424" t="n">
        <v>289705.28</v>
      </c>
      <c r="E424" t="inlineStr">
        <is>
          <t>Ativo</t>
        </is>
      </c>
      <c r="F424" t="inlineStr">
        <is>
          <t>Contratação da prestação de serviços de fornecimento de circuito de transmissão de dados com link ponto a ponto entre as unidades da SES-AM TC: 0021/2021 AD: 05.</t>
        </is>
      </c>
    </row>
    <row r="425">
      <c r="A425" t="inlineStr">
        <is>
          <t>2025NE0000008</t>
        </is>
      </c>
      <c r="B425" t="inlineStr">
        <is>
          <t>18/2021</t>
        </is>
      </c>
      <c r="C425" t="inlineStr">
        <is>
          <t>02/01/2025</t>
        </is>
      </c>
      <c r="D425" t="n">
        <v>663084.71</v>
      </c>
      <c r="E425" t="inlineStr">
        <is>
          <t>Ativo</t>
        </is>
      </c>
      <c r="F425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426">
      <c r="A426" t="inlineStr">
        <is>
          <t>2025NE0000009</t>
        </is>
      </c>
      <c r="B426" t="inlineStr">
        <is>
          <t>5/2021</t>
        </is>
      </c>
      <c r="C426" t="inlineStr">
        <is>
          <t>02/01/2025</t>
        </is>
      </c>
      <c r="D426" t="n">
        <v>36112.42</v>
      </c>
      <c r="E426" t="inlineStr">
        <is>
          <t>Ativo</t>
        </is>
      </c>
      <c r="F426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427">
      <c r="A427" t="inlineStr">
        <is>
          <t>2025NE0000011</t>
        </is>
      </c>
      <c r="B427" t="inlineStr">
        <is>
          <t>18/2024</t>
        </is>
      </c>
      <c r="C427" t="inlineStr">
        <is>
          <t>02/01/2025</t>
        </is>
      </c>
      <c r="D427" t="n">
        <v>146012.35</v>
      </c>
      <c r="E427" t="inlineStr">
        <is>
          <t>Ativo</t>
        </is>
      </c>
      <c r="F427" t="inlineStr">
        <is>
          <t>Contratação de pessoa jurídica especializada para prestação de serviços PRODAM-RH a fim de atender as necessidades da Secretaria de Estado de Saúde – SES/AM</t>
        </is>
      </c>
    </row>
    <row r="428">
      <c r="A428" t="inlineStr">
        <is>
          <t>2025NE0000014</t>
        </is>
      </c>
      <c r="B428" t="inlineStr">
        <is>
          <t>21/2021</t>
        </is>
      </c>
      <c r="C428" t="inlineStr">
        <is>
          <t>02/01/2025</t>
        </is>
      </c>
      <c r="D428" t="n">
        <v>325367.97</v>
      </c>
      <c r="E428" t="inlineStr">
        <is>
          <t>Ativo</t>
        </is>
      </c>
      <c r="F428" t="inlineStr">
        <is>
          <t>Contratação da prestação de serviços de fornecimento de circuito de transmissão de dados com link ponto a ponto entre as unidades da SES-AM TC: 0021/2021 AD: 03.</t>
        </is>
      </c>
    </row>
    <row r="429">
      <c r="A429" t="inlineStr">
        <is>
          <t>2024NE0000054</t>
        </is>
      </c>
      <c r="B429" t="inlineStr">
        <is>
          <t>21/2021</t>
        </is>
      </c>
      <c r="C429" t="inlineStr">
        <is>
          <t>02/01/2024</t>
        </is>
      </c>
      <c r="D429" t="n">
        <v>650735.9399999999</v>
      </c>
      <c r="E429" t="inlineStr">
        <is>
          <t>Ativo</t>
        </is>
      </c>
      <c r="F429" t="inlineStr">
        <is>
          <t>Contratação da prestação de serviços de fornecimento de circuito de transmissão de dados com link ponto a ponto entre as unidades da SES-AM TC: 0021/2021 AD: 02.</t>
        </is>
      </c>
    </row>
    <row r="430">
      <c r="A430" t="inlineStr">
        <is>
          <t>2024NE0000060</t>
        </is>
      </c>
      <c r="B430" t="inlineStr">
        <is>
          <t>54/2018</t>
        </is>
      </c>
      <c r="C430" t="inlineStr">
        <is>
          <t>02/01/2024</t>
        </is>
      </c>
      <c r="D430" t="n">
        <v>292024.7</v>
      </c>
      <c r="E430" t="inlineStr">
        <is>
          <t>Ativo</t>
        </is>
      </c>
      <c r="F430" t="inlineStr">
        <is>
          <t>Contratação da Prestação de Serviços PRODAM-RH visando manter o cadastro servidores e folha de pagamento de pessoal, processar folha de pagamento e fornecer relatórios para efetivação de pagamento TC:</t>
        </is>
      </c>
    </row>
    <row r="431">
      <c r="A431" t="inlineStr">
        <is>
          <t>2024NE0000059</t>
        </is>
      </c>
      <c r="B431" t="inlineStr">
        <is>
          <t>18/2021</t>
        </is>
      </c>
      <c r="C431" t="inlineStr">
        <is>
          <t>02/01/2024</t>
        </is>
      </c>
      <c r="D431" t="n">
        <v>1326562.84</v>
      </c>
      <c r="E431" t="inlineStr">
        <is>
          <t>Ativo</t>
        </is>
      </c>
      <c r="F431" t="inlineStr">
        <is>
          <t>restação de serviços de desenvolvimento de sistemas de informação, serviço de acesso, consultoria/assessoria e produção de repositórios e armazéns de dados (DataWarehouse) do Governo de Estado TC: 001</t>
        </is>
      </c>
    </row>
    <row r="432">
      <c r="A432" t="inlineStr">
        <is>
          <t>2024NE0000061</t>
        </is>
      </c>
      <c r="B432" t="inlineStr">
        <is>
          <t>5/2021</t>
        </is>
      </c>
      <c r="C432" t="inlineStr">
        <is>
          <t>02/01/2024</t>
        </is>
      </c>
      <c r="D432" t="n">
        <v>36112.42</v>
      </c>
      <c r="E432" t="inlineStr">
        <is>
          <t>Ativo</t>
        </is>
      </c>
      <c r="F432" t="inlineStr">
        <is>
          <t>Contratação da prestação de serviço de hospedagem de servidores em ambiente de máquinas virtuais em nuvem, a fim de atender às necessidades de Tecnologia da Informação da Secretaria de Saúde. TC: 0005</t>
        </is>
      </c>
    </row>
    <row r="433">
      <c r="A433" t="inlineStr">
        <is>
          <t>2023NE0000182</t>
        </is>
      </c>
      <c r="B433" t="inlineStr">
        <is>
          <t>5/2021</t>
        </is>
      </c>
      <c r="C433" t="inlineStr">
        <is>
          <t>02/01/2023</t>
        </is>
      </c>
      <c r="D433" t="n">
        <v>34245.6</v>
      </c>
      <c r="E433" t="inlineStr">
        <is>
          <t>Ativo</t>
        </is>
      </c>
      <c r="F433" t="inlineStr">
        <is>
          <t>Contratação da prestação de serviço de hospedagem de servidores em ambiente de máquinas virtuais em nuvem, a fim de atender às necessidades de ampliação, atualização e padronização do ambiente de Tecn</t>
        </is>
      </c>
    </row>
    <row r="434">
      <c r="A434" t="inlineStr">
        <is>
          <t>2023NE0000138</t>
        </is>
      </c>
      <c r="B434" t="inlineStr">
        <is>
          <t>54/2018</t>
        </is>
      </c>
      <c r="C434" t="inlineStr">
        <is>
          <t>02/01/2023</t>
        </is>
      </c>
      <c r="D434" t="n">
        <v>146012.35</v>
      </c>
      <c r="E434" t="inlineStr">
        <is>
          <t>Ativo</t>
        </is>
      </c>
      <c r="F434" t="inlineStr">
        <is>
          <t>prestação de Serviços PRODAM-RH visando manter o cadastro servidores e folha de pagamento de pessoal, processar folha de pagamento e fornecer relatórios para efetivação de pagamento</t>
        </is>
      </c>
    </row>
    <row r="435">
      <c r="A435" t="inlineStr">
        <is>
          <t>2020NE00122</t>
        </is>
      </c>
      <c r="B435" t="inlineStr"/>
      <c r="C435" t="inlineStr">
        <is>
          <t>02/01/2020</t>
        </is>
      </c>
      <c r="D435" t="n">
        <v>37774.56</v>
      </c>
      <c r="E435" t="inlineStr">
        <is>
          <t>Ativo</t>
        </is>
      </c>
      <c r="F435">
        <f>ANULAÇÃO TOTAL =MOTIVO:DESCRIÇÃO INCORRETA</f>
        <v/>
      </c>
    </row>
    <row r="436">
      <c r="A436" t="inlineStr">
        <is>
          <t>2020NE00201</t>
        </is>
      </c>
      <c r="B436" t="inlineStr">
        <is>
          <t>2/2015</t>
        </is>
      </c>
      <c r="C436" t="inlineStr">
        <is>
          <t>02/01/2020</t>
        </is>
      </c>
      <c r="D436" t="n">
        <v>37774.56</v>
      </c>
      <c r="E436" t="inlineStr">
        <is>
          <t>Ativo</t>
        </is>
      </c>
      <c r="F436" t="inlineStr">
        <is>
          <t>Por força deste Contrato a CONTRATADA obriga-se a prestar para a CONTRATANTE os Serviços de empresa especializada para implementação de melhorias qualitativas e disponibilidade, confiabilidade , escal</t>
        </is>
      </c>
    </row>
    <row r="437">
      <c r="A437" t="inlineStr">
        <is>
          <t>2020NE00096</t>
        </is>
      </c>
      <c r="B437" t="inlineStr">
        <is>
          <t>54/2018</t>
        </is>
      </c>
      <c r="C437" t="inlineStr">
        <is>
          <t>02/01/2020</t>
        </is>
      </c>
      <c r="D437" t="n">
        <v>366920.64</v>
      </c>
      <c r="E437" t="inlineStr">
        <is>
          <t>Ativo</t>
        </is>
      </c>
      <c r="F437" t="inlineStr">
        <is>
          <t xml:space="preserve">Por força deste Contrato a CONTRATADA obriga-se a prestar para a CONTRATANTE os Serviços PRODAM-RH visando manter o cadastro servidores e folha de pagamento de pessoal, processar folha de pagamento e </t>
        </is>
      </c>
    </row>
    <row r="438">
      <c r="A438" t="inlineStr">
        <is>
          <t>2020NE00075</t>
        </is>
      </c>
      <c r="B438" t="inlineStr">
        <is>
          <t>2/2015</t>
        </is>
      </c>
      <c r="C438" t="inlineStr">
        <is>
          <t>02/01/2020</t>
        </is>
      </c>
      <c r="D438" t="n">
        <v>37774.56</v>
      </c>
      <c r="E438" t="inlineStr">
        <is>
          <t>Ativo</t>
        </is>
      </c>
      <c r="F438" t="inlineStr">
        <is>
          <t>Por força deste Contrato a CONTRATADA obriga-se a prestar para a CONTRATANTE os Serviços de empresa especializada para implementação de melhorias qualitativas e disponibilidade, confiabilidade , escal</t>
        </is>
      </c>
    </row>
    <row r="439">
      <c r="A439" t="inlineStr">
        <is>
          <t>2019NE00207</t>
        </is>
      </c>
      <c r="B439" t="inlineStr">
        <is>
          <t>54/2018</t>
        </is>
      </c>
      <c r="C439" t="inlineStr">
        <is>
          <t>02/01/2019</t>
        </is>
      </c>
      <c r="D439" t="n">
        <v>366920.64</v>
      </c>
      <c r="E439" t="inlineStr">
        <is>
          <t>Ativo</t>
        </is>
      </c>
      <c r="F439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440">
      <c r="A440" t="inlineStr">
        <is>
          <t>2019NE00282</t>
        </is>
      </c>
      <c r="B440" t="inlineStr"/>
      <c r="C440" t="inlineStr">
        <is>
          <t>02/01/2019</t>
        </is>
      </c>
      <c r="D440" t="n">
        <v>37774.56</v>
      </c>
      <c r="E440" t="inlineStr">
        <is>
          <t>Ativo</t>
        </is>
      </c>
      <c r="F440">
        <f>ANULAÇÃO TOTAL; =DESCRIÇÃO INCORRETA</f>
        <v/>
      </c>
    </row>
    <row r="441">
      <c r="A441" t="inlineStr">
        <is>
          <t>2019NE00283</t>
        </is>
      </c>
      <c r="B441" t="inlineStr">
        <is>
          <t>2/2015</t>
        </is>
      </c>
      <c r="C441" t="inlineStr">
        <is>
          <t>02/01/2019</t>
        </is>
      </c>
      <c r="D441" t="n">
        <v>37774.56</v>
      </c>
      <c r="E441" t="inlineStr">
        <is>
          <t>Ativo</t>
        </is>
      </c>
      <c r="F441" t="inlineStr">
        <is>
          <t>CONTRATAÇÃO DE EMPRESA ESPECIALIZADA PARA IMPLEMENTAÇÃO DE MELHORIAS QUALITATIVAS E DISPONIBILIDADE. CONFIABILIDADE, ESCALABILIDADE E MANUTENÇÃO DA REDE DE DADOS</t>
        </is>
      </c>
    </row>
    <row r="442">
      <c r="A442" t="inlineStr">
        <is>
          <t>2019NE00247</t>
        </is>
      </c>
      <c r="B442" t="inlineStr">
        <is>
          <t>2/2015</t>
        </is>
      </c>
      <c r="C442" t="inlineStr">
        <is>
          <t>02/01/2019</t>
        </is>
      </c>
      <c r="D442" t="n">
        <v>37774.56</v>
      </c>
      <c r="E442" t="inlineStr">
        <is>
          <t>Ativo</t>
        </is>
      </c>
      <c r="F442" t="inlineStr">
        <is>
          <t>CONTRATAÇÃO DE EMPRESA ESPECIALIZADA PARA IMPLEMENTAÇÃO DE MELHORIAS QUALITATIVAS E DISPONIBILIDADE. CONFIABILIDADE, ESCALABILIDADE E MANUTENÇÃO DA REDE DE DADOS</t>
        </is>
      </c>
    </row>
    <row r="443">
      <c r="A443" t="inlineStr">
        <is>
          <t>2018NE00643</t>
        </is>
      </c>
      <c r="B443" t="inlineStr">
        <is>
          <t>2/2015</t>
        </is>
      </c>
      <c r="C443" t="inlineStr">
        <is>
          <t>02/01/2018</t>
        </is>
      </c>
      <c r="D443" t="n">
        <v>254978.31</v>
      </c>
      <c r="E443" t="inlineStr">
        <is>
          <t>Ativo</t>
        </is>
      </c>
      <c r="F443" t="inlineStr">
        <is>
          <t>CONTRATAÇÃO DE EMPRESA ESPECIALIZADA PARA IMPLEMENTAÇÃO DE MELHORIAS QUALITATIVAS E DISPONIBILIDADE. CONFIABILIDADE, ESCALABILIDADE E MANUTENÇÃO DA REDE DE DADOS</t>
        </is>
      </c>
    </row>
    <row r="444">
      <c r="A444" t="inlineStr">
        <is>
          <t>2018NE00575</t>
        </is>
      </c>
      <c r="B444" t="inlineStr">
        <is>
          <t>116/2013</t>
        </is>
      </c>
      <c r="C444" t="inlineStr">
        <is>
          <t>02/01/2018</t>
        </is>
      </c>
      <c r="D444" t="n">
        <v>154015.81</v>
      </c>
      <c r="E444" t="inlineStr">
        <is>
          <t>Ativo</t>
        </is>
      </c>
      <c r="F444">
        <f>DESPESAS DE EXERCÍCIOS ANTERIORES; =SEM COBERTURA CONTRATUAL; =SISTEMA HYGIA; =SUSAM - SEDE; =PERÍODO DE JUNHO/2017.</f>
        <v/>
      </c>
    </row>
    <row r="445">
      <c r="A445" t="inlineStr">
        <is>
          <t>2018NE00610</t>
        </is>
      </c>
      <c r="B445" t="inlineStr">
        <is>
          <t>2/2015</t>
        </is>
      </c>
      <c r="C445" t="inlineStr">
        <is>
          <t>02/01/2018</t>
        </is>
      </c>
      <c r="D445" t="n">
        <v>254978.31</v>
      </c>
      <c r="E445" t="inlineStr">
        <is>
          <t>Ativo</t>
        </is>
      </c>
      <c r="F445" t="inlineStr">
        <is>
          <t>CONTRATAÇÃO DE EMPRESA ESPECIALIZADA PARA IMPLEMENTAÇÃO DE MELHORIAS QUALITATIVAS E DISPONIBILIDADE. CONFIABILIDADE, ESCALABILIDADE E MANUTENÇÃO DA REDE DE DADOS</t>
        </is>
      </c>
    </row>
    <row r="446">
      <c r="A446" t="inlineStr">
        <is>
          <t>2018NE00639</t>
        </is>
      </c>
      <c r="B446" t="inlineStr"/>
      <c r="C446" t="inlineStr">
        <is>
          <t>02/01/2018</t>
        </is>
      </c>
      <c r="D446" t="n">
        <v>254978.31</v>
      </c>
      <c r="E446" t="inlineStr">
        <is>
          <t>Ativo</t>
        </is>
      </c>
      <c r="F446">
        <f>ANULAÇÃO TOTAL DA NE 610/18 =CORREÇÃO DA REFERÊNCIA DE LICITAÇÃO</f>
        <v/>
      </c>
    </row>
    <row r="447">
      <c r="A447" t="inlineStr">
        <is>
          <t>2018NE00576</t>
        </is>
      </c>
      <c r="B447" t="inlineStr">
        <is>
          <t>P.125/2016</t>
        </is>
      </c>
      <c r="C447" t="inlineStr">
        <is>
          <t>02/01/2018</t>
        </is>
      </c>
      <c r="D447" t="n">
        <v>72561.32000000001</v>
      </c>
      <c r="E447" t="inlineStr">
        <is>
          <t>Ativo</t>
        </is>
      </c>
      <c r="F447">
        <f>DESPESAS DE EXERCÍCIOS ANTERIORES; =SEM COBERTURA CONTRATUAL; =SISTEMA DE RECURSOS HUMANOS E FOLHA; =SUSAM - SEDE; =PERÍODO DE JUNHO/2017.</f>
        <v/>
      </c>
    </row>
    <row r="448">
      <c r="A448" t="inlineStr">
        <is>
          <t>2018NE00430</t>
        </is>
      </c>
      <c r="B448" t="inlineStr">
        <is>
          <t>2/2015</t>
        </is>
      </c>
      <c r="C448" t="inlineStr">
        <is>
          <t>02/01/2018</t>
        </is>
      </c>
      <c r="D448" t="n">
        <v>37721.77</v>
      </c>
      <c r="E448" t="inlineStr">
        <is>
          <t>Ativo</t>
        </is>
      </c>
      <c r="F448">
        <f>TERCEIRO TERMO ADITIVO AO CONTRATO N° 002/2015</f>
        <v/>
      </c>
    </row>
    <row r="449">
      <c r="A449" t="inlineStr">
        <is>
          <t>2018NE00394</t>
        </is>
      </c>
      <c r="B449" t="inlineStr">
        <is>
          <t>2/2015</t>
        </is>
      </c>
      <c r="C449" t="inlineStr">
        <is>
          <t>02/01/2018</t>
        </is>
      </c>
      <c r="D449" t="n">
        <v>285858.38</v>
      </c>
      <c r="E449" t="inlineStr">
        <is>
          <t>Ativo</t>
        </is>
      </c>
      <c r="F449">
        <f>DESPESAS DE EXERCÍCIOS ANTERIORES; =REFERENTE AO 3º T AD DO CONTRATO Nº 002/2015; =SERVIÇO DE ACESSO GERENCIADO A REDE MUNDIAL; =NAS UNIDADES DE SAUDE DA CAPITAL -AM; =PERÍODO DE NOVEMBRO/2017.</f>
        <v/>
      </c>
    </row>
    <row r="450">
      <c r="A450" t="inlineStr">
        <is>
          <t>2017NE00219</t>
        </is>
      </c>
      <c r="B450" t="inlineStr">
        <is>
          <t>2/2015</t>
        </is>
      </c>
      <c r="C450" t="inlineStr">
        <is>
          <t>02/01/2017</t>
        </is>
      </c>
      <c r="D450" t="n">
        <v>254621.91</v>
      </c>
      <c r="E450" t="inlineStr">
        <is>
          <t>Ativo</t>
        </is>
      </c>
      <c r="F450" t="inlineStr">
        <is>
          <t>CONTRATAÇÃO DOS SERVIÇOS DE INFORMÁTICA COMUNICAÇÃO DE DADOS E REDES</t>
        </is>
      </c>
    </row>
    <row r="451">
      <c r="A451" t="inlineStr">
        <is>
          <t>2014NE00182</t>
        </is>
      </c>
      <c r="B451" t="inlineStr">
        <is>
          <t>51/2008</t>
        </is>
      </c>
      <c r="C451" t="inlineStr">
        <is>
          <t>02/01/2014</t>
        </is>
      </c>
      <c r="D451" t="n">
        <v>22211.31</v>
      </c>
      <c r="E451" t="inlineStr">
        <is>
          <t>Ativo</t>
        </is>
      </c>
      <c r="F451" t="inlineStr">
        <is>
          <t>Contrato No. 51/2008 - Complexo Regulador</t>
        </is>
      </c>
    </row>
    <row r="452">
      <c r="A452" t="inlineStr">
        <is>
          <t>2014NE00181</t>
        </is>
      </c>
      <c r="B452" t="inlineStr">
        <is>
          <t>116/2013</t>
        </is>
      </c>
      <c r="C452" t="inlineStr">
        <is>
          <t>02/01/2014</t>
        </is>
      </c>
      <c r="D452" t="n">
        <v>1459767.46</v>
      </c>
      <c r="E452" t="inlineStr">
        <is>
          <t>Ativo</t>
        </is>
      </c>
      <c r="F452" t="inlineStr">
        <is>
          <t>Contrato No. 116/2013 - Gestão da Saúde Pública nas unidades de saída</t>
        </is>
      </c>
    </row>
    <row r="453">
      <c r="A453" t="inlineStr">
        <is>
          <t>2014NE00241</t>
        </is>
      </c>
      <c r="B453" t="inlineStr">
        <is>
          <t>81/2010</t>
        </is>
      </c>
      <c r="C453" t="inlineStr">
        <is>
          <t>02/01/2014</t>
        </is>
      </c>
      <c r="D453" t="n">
        <v>900000</v>
      </c>
      <c r="E453" t="inlineStr">
        <is>
          <t>Ativo</t>
        </is>
      </c>
      <c r="F453" t="inlineStr">
        <is>
          <t>Contrato No. 81/2010 - CFPP - Cadastro e Folha de Pagamento de Pessoal</t>
        </is>
      </c>
    </row>
    <row r="454">
      <c r="A454" t="inlineStr">
        <is>
          <t>2014NE00173</t>
        </is>
      </c>
      <c r="B454" t="inlineStr">
        <is>
          <t>52/2008</t>
        </is>
      </c>
      <c r="C454" t="inlineStr">
        <is>
          <t>02/01/2014</t>
        </is>
      </c>
      <c r="D454" t="n">
        <v>296355.56</v>
      </c>
      <c r="E454" t="inlineStr">
        <is>
          <t>Ativo</t>
        </is>
      </c>
      <c r="F454" t="inlineStr">
        <is>
          <t>Contrato No. 52/2008 - Instalação de Links nas unidades de Saíde</t>
        </is>
      </c>
    </row>
    <row r="455">
      <c r="A455" t="inlineStr">
        <is>
          <t>2016NE03075</t>
        </is>
      </c>
      <c r="B455" t="inlineStr">
        <is>
          <t>2/2015</t>
        </is>
      </c>
      <c r="C455" t="inlineStr">
        <is>
          <t>01/12/2016</t>
        </is>
      </c>
      <c r="D455" t="n">
        <v>268722.93</v>
      </c>
      <c r="E455" t="inlineStr">
        <is>
          <t>Ativo</t>
        </is>
      </c>
      <c r="F455">
        <f>REFERENTE AO SEGUNDO TERMO ADITIVO AO CONTRATO Nº 002/15, MANUTENÇÃO DA REDE DE DADOS, PERÍODO DE ABRIL DE 2016.</f>
        <v/>
      </c>
    </row>
    <row r="456">
      <c r="A456" t="inlineStr">
        <is>
          <t>2025NE0005711</t>
        </is>
      </c>
      <c r="B456" t="inlineStr">
        <is>
          <t>21/2021</t>
        </is>
      </c>
      <c r="C456" t="inlineStr">
        <is>
          <t>01/10/2025</t>
        </is>
      </c>
      <c r="D456" t="n">
        <v>297701.3</v>
      </c>
      <c r="E456" t="inlineStr">
        <is>
          <t>Ativo</t>
        </is>
      </c>
      <c r="F456" t="inlineStr">
        <is>
          <t>Contratação da prestação de serviços de fornecimento de circuito de transmissão de dados com link ponto a ponto entre as unidades da SES-AM TC: 0021/2021 AD: 03.</t>
        </is>
      </c>
    </row>
    <row r="457">
      <c r="A457" t="inlineStr">
        <is>
          <t>2019NE03217</t>
        </is>
      </c>
      <c r="B457" t="inlineStr"/>
      <c r="C457" t="inlineStr">
        <is>
          <t>01/10/2019</t>
        </is>
      </c>
      <c r="D457" t="n">
        <v>122306.88</v>
      </c>
      <c r="E457" t="inlineStr">
        <is>
          <t>Ativo</t>
        </is>
      </c>
      <c r="F457">
        <f>ANULAÇÃO TOTAL DA NE 03167/2019 =MOTIVO : DESCRIÇÃO INCORRETA</f>
        <v/>
      </c>
    </row>
    <row r="458">
      <c r="A458" t="inlineStr">
        <is>
          <t>2019NE03218</t>
        </is>
      </c>
      <c r="B458" t="inlineStr">
        <is>
          <t>54/2018</t>
        </is>
      </c>
      <c r="C458" t="inlineStr">
        <is>
          <t>01/10/2019</t>
        </is>
      </c>
      <c r="D458" t="n">
        <v>122306.88</v>
      </c>
      <c r="E458" t="inlineStr">
        <is>
          <t>Ativo</t>
        </is>
      </c>
      <c r="F458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459">
      <c r="A459" t="inlineStr">
        <is>
          <t>2019NE03167</t>
        </is>
      </c>
      <c r="B459" t="inlineStr">
        <is>
          <t>54/2018</t>
        </is>
      </c>
      <c r="C459" t="inlineStr">
        <is>
          <t>01/10/2019</t>
        </is>
      </c>
      <c r="D459" t="n">
        <v>122306.88</v>
      </c>
      <c r="E459" t="inlineStr">
        <is>
          <t>Ativo</t>
        </is>
      </c>
      <c r="F459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460">
      <c r="A460" t="inlineStr">
        <is>
          <t>2014NE03960</t>
        </is>
      </c>
      <c r="B460" t="inlineStr">
        <is>
          <t>116/2013</t>
        </is>
      </c>
      <c r="C460" t="inlineStr">
        <is>
          <t>01/10/2014</t>
        </is>
      </c>
      <c r="D460" t="n">
        <v>230753.79</v>
      </c>
      <c r="E460" t="inlineStr">
        <is>
          <t>Ativo</t>
        </is>
      </c>
      <c r="F460" t="inlineStr">
        <is>
          <t>Contrato No. 116/2013 - Gestão da Saúde Pública nas unidades de saída</t>
        </is>
      </c>
    </row>
    <row r="461">
      <c r="A461" t="inlineStr">
        <is>
          <t>2017NE02977</t>
        </is>
      </c>
      <c r="B461" t="inlineStr"/>
      <c r="C461" t="inlineStr">
        <is>
          <t>01/09/2017</t>
        </is>
      </c>
      <c r="D461" t="n">
        <v>6485.3</v>
      </c>
      <c r="E461" t="inlineStr">
        <is>
          <t>Ativo</t>
        </is>
      </c>
      <c r="F461">
        <f>ANULAÇÃO TOTAL =MOTIVO: PRA AJUSTE ORÇAMENTARIO</f>
        <v/>
      </c>
    </row>
    <row r="462">
      <c r="A462" t="inlineStr">
        <is>
          <t>2017NE02975</t>
        </is>
      </c>
      <c r="B462" t="inlineStr"/>
      <c r="C462" t="inlineStr">
        <is>
          <t>01/09/2017</t>
        </is>
      </c>
      <c r="D462" t="n">
        <v>6485.3</v>
      </c>
      <c r="E462" t="inlineStr">
        <is>
          <t>Ativo</t>
        </is>
      </c>
      <c r="F462">
        <f>ANULAÇÃO TOTAL =MOTIVO: PRA AJUSTE ORÇAMENTARIO</f>
        <v/>
      </c>
    </row>
    <row r="463">
      <c r="A463" t="inlineStr">
        <is>
          <t>2014NE03239</t>
        </is>
      </c>
      <c r="B463" t="inlineStr">
        <is>
          <t>116/2013</t>
        </is>
      </c>
      <c r="C463" t="inlineStr">
        <is>
          <t>01/08/2014</t>
        </is>
      </c>
      <c r="D463" t="n">
        <v>208538.21</v>
      </c>
      <c r="E463" t="inlineStr">
        <is>
          <t>Ativo</t>
        </is>
      </c>
      <c r="F463" t="inlineStr">
        <is>
          <t>Contrato No. 116/2013 - Gestão da Saúde Pública nas unidades de saída</t>
        </is>
      </c>
    </row>
    <row r="464">
      <c r="A464" t="inlineStr">
        <is>
          <t>2015NE02521</t>
        </is>
      </c>
      <c r="B464" t="inlineStr">
        <is>
          <t>2/2015</t>
        </is>
      </c>
      <c r="C464" t="inlineStr">
        <is>
          <t>01/07/2015</t>
        </is>
      </c>
      <c r="D464" t="n">
        <v>42825.71</v>
      </c>
      <c r="E464" t="inlineStr">
        <is>
          <t>Ativo</t>
        </is>
      </c>
      <c r="F464">
        <f>ANULAÇÃO PARCIAL DA NOTA DE EMPENHO</f>
        <v/>
      </c>
    </row>
    <row r="465">
      <c r="A465" t="inlineStr">
        <is>
          <t>2019NE01138</t>
        </is>
      </c>
      <c r="B465" t="inlineStr"/>
      <c r="C465" t="inlineStr">
        <is>
          <t>01/04/2019</t>
        </is>
      </c>
      <c r="D465" t="n">
        <v>292752.87</v>
      </c>
      <c r="E465" t="inlineStr">
        <is>
          <t>Ativo</t>
        </is>
      </c>
      <c r="F465" t="inlineStr">
        <is>
          <t>REF</t>
        </is>
      </c>
    </row>
    <row r="466">
      <c r="A466" t="inlineStr">
        <is>
          <t>2019NE00952</t>
        </is>
      </c>
      <c r="B466" t="inlineStr">
        <is>
          <t>54/2018</t>
        </is>
      </c>
      <c r="C466" t="inlineStr">
        <is>
          <t>01/04/2019</t>
        </is>
      </c>
      <c r="D466" t="n">
        <v>122306.88</v>
      </c>
      <c r="E466" t="inlineStr">
        <is>
          <t>Ativo</t>
        </is>
      </c>
      <c r="F466" t="inlineStr">
        <is>
          <t>CONTRATAÇÃO Serviços PRODAM-RH visando manter o cadastro servidores e folha de pagamento de pessoal, processar folha de pagamento e fornecer relatórios para efetivação de pagamento</t>
        </is>
      </c>
    </row>
    <row r="467">
      <c r="A467" t="inlineStr">
        <is>
          <t>2016NE01332</t>
        </is>
      </c>
      <c r="B467" t="inlineStr">
        <is>
          <t>24/2016</t>
        </is>
      </c>
      <c r="C467" t="inlineStr">
        <is>
          <t>01/04/2016</t>
        </is>
      </c>
      <c r="D467" t="n">
        <v>556684.34</v>
      </c>
      <c r="E467" t="inlineStr">
        <is>
          <t>Ativo</t>
        </is>
      </c>
      <c r="F467">
        <f>TERMO DE CONTRATO Nº 024/2016-SUSAM</f>
        <v/>
      </c>
    </row>
    <row r="468">
      <c r="A468" t="inlineStr">
        <is>
          <t>2015NE01710</t>
        </is>
      </c>
      <c r="B468" t="inlineStr">
        <is>
          <t>81/2010</t>
        </is>
      </c>
      <c r="C468" t="inlineStr">
        <is>
          <t>01/04/2015</t>
        </is>
      </c>
      <c r="D468" t="n">
        <v>104884.8</v>
      </c>
      <c r="E468" t="inlineStr">
        <is>
          <t>Ativo</t>
        </is>
      </c>
      <c r="F468">
        <f>NOTA DE EMPENHO COMPLEMENTAR A NE N° 283/2015.</f>
        <v/>
      </c>
    </row>
    <row r="469">
      <c r="A469" t="inlineStr">
        <is>
          <t>2018NE00923</t>
        </is>
      </c>
      <c r="B469" t="inlineStr">
        <is>
          <t>2/2015</t>
        </is>
      </c>
      <c r="C469" t="inlineStr">
        <is>
          <t>01/03/2018</t>
        </is>
      </c>
      <c r="D469" t="n">
        <v>547731.1800000001</v>
      </c>
      <c r="E469" t="inlineStr">
        <is>
          <t>Ativo</t>
        </is>
      </c>
      <c r="F469" t="inlineStr">
        <is>
          <t>CONTRATAÇÃO DE EMPRESA ESPECIALIZADA PARA IMPLEMENTAÇÃO DE MELHORIAS QUALITATIVAS E DISPONIBILIDADE. CONFIABILIDADE, ESCALABILIDADE E MANUTENÇÃO DA REDE DE DADOS</t>
        </is>
      </c>
    </row>
    <row r="470">
      <c r="A470" t="inlineStr">
        <is>
          <t>2018NE00921</t>
        </is>
      </c>
      <c r="B470" t="inlineStr">
        <is>
          <t>2/2015</t>
        </is>
      </c>
      <c r="C470" t="inlineStr">
        <is>
          <t>01/03/2018</t>
        </is>
      </c>
      <c r="D470" t="n">
        <v>37721.77</v>
      </c>
      <c r="E470" t="inlineStr">
        <is>
          <t>Ativo</t>
        </is>
      </c>
      <c r="F470">
        <f>3º ADITIVO AO CONTRATO 002/2015, CONTRATAÇÃO DOS SERVIÇOS DE INFORMÁTICA COMUNICAÇÃO DE DADOS E REDES, (DE ACORDO COM OT 012/2018)</f>
        <v/>
      </c>
    </row>
    <row r="471">
      <c r="A471" t="inlineStr">
        <is>
          <t>2019NE00579</t>
        </is>
      </c>
      <c r="B471" t="inlineStr">
        <is>
          <t>2/2015</t>
        </is>
      </c>
      <c r="C471" t="inlineStr">
        <is>
          <t>01/02/2019</t>
        </is>
      </c>
      <c r="D471" t="n">
        <v>840484.05</v>
      </c>
      <c r="E471" t="inlineStr">
        <is>
          <t>Ativo</t>
        </is>
      </c>
      <c r="F471" t="inlineStr">
        <is>
          <t>CONTRATAÇÃO Serviços de empresa especializada para implementação de melhorias qualitativas e disponibilidade, confiabilidade , escalabilidade e manutenção da rede de dados e ainda atender as necessida</t>
        </is>
      </c>
    </row>
    <row r="472">
      <c r="A472" t="inlineStr">
        <is>
          <t>2018NE00770</t>
        </is>
      </c>
      <c r="B472" t="inlineStr"/>
      <c r="C472" t="inlineStr">
        <is>
          <t>01/02/2018</t>
        </is>
      </c>
      <c r="D472" t="n">
        <v>37721.77</v>
      </c>
      <c r="E472" t="inlineStr">
        <is>
          <t>Ativo</t>
        </is>
      </c>
      <c r="F472" t="inlineStr">
        <is>
          <t>ANULAÇÃO TOTAL DA NE 430/2018; MOTIVO: ORIENTAÇÃO TÉCNICA N° 12/2018 - GINS/SEFAZ;</t>
        </is>
      </c>
    </row>
    <row r="473">
      <c r="A473" t="inlineStr">
        <is>
          <t>2018NE00768</t>
        </is>
      </c>
      <c r="B473" t="inlineStr"/>
      <c r="C473" t="inlineStr">
        <is>
          <t>01/02/2018</t>
        </is>
      </c>
      <c r="D473" t="n">
        <v>254978.31</v>
      </c>
      <c r="E473" t="inlineStr">
        <is>
          <t>Ativo</t>
        </is>
      </c>
      <c r="F473" t="inlineStr">
        <is>
          <t>ANULAÇÃO TOTAL DA NE 643/2018; MOTIVO: ORIENTAÇÃO TÉCNICA N° 12/2018 - GINS/SEFAZ;</t>
        </is>
      </c>
    </row>
    <row r="474">
      <c r="A474" t="inlineStr">
        <is>
          <t>2016NE00604</t>
        </is>
      </c>
      <c r="B474" t="inlineStr">
        <is>
          <t>2/2015</t>
        </is>
      </c>
      <c r="C474" t="inlineStr">
        <is>
          <t>01/02/2016</t>
        </is>
      </c>
      <c r="D474" t="n">
        <v>502722.93</v>
      </c>
      <c r="E474" t="inlineStr">
        <is>
          <t>Ativo</t>
        </is>
      </c>
      <c r="F474" t="inlineStr">
        <is>
          <t>CONTRATO Nº 002/2015, 2º ADITIVO. SERVIÇOS DE MANUTENÇÃO E MELHORIA DA REDE DE DADOS DAS UNIDADES DE SAÚDE, CEMA E COMPLEXO E FARMÁCIAS POPULARES NA CAPITAL. REF. JAN E FEV/2016.</t>
        </is>
      </c>
    </row>
    <row r="475">
      <c r="A475" t="inlineStr">
        <is>
          <t>2016NE00603</t>
        </is>
      </c>
      <c r="B475" t="inlineStr">
        <is>
          <t>2/2015</t>
        </is>
      </c>
      <c r="C475" t="inlineStr">
        <is>
          <t>01/02/2016</t>
        </is>
      </c>
      <c r="D475" t="n">
        <v>34673.93</v>
      </c>
      <c r="E475" t="inlineStr">
        <is>
          <t>Ativo</t>
        </is>
      </c>
      <c r="F475">
        <f>PRIMEIRO TERMO ADITIVO AO CONTRATO N° 002/2015-SUSAM, CELEBRADO ENTRE O ESTADO DO AMAZONAS, POR INTERMEDIO DA SECRETARIA DE ESTADO DE SAUDE E A PRODAM - PROCESSAMENTO DE DADOS AMAZONAS S.A</f>
        <v/>
      </c>
    </row>
    <row r="476">
      <c r="A476" t="inlineStr">
        <is>
          <t>2016NE00605</t>
        </is>
      </c>
      <c r="B476" t="inlineStr">
        <is>
          <t>116/2013</t>
        </is>
      </c>
      <c r="C476" t="inlineStr">
        <is>
          <t>01/02/2016</t>
        </is>
      </c>
      <c r="D476" t="n">
        <v>308031.56</v>
      </c>
      <c r="E476" t="inlineStr">
        <is>
          <t>Ativo</t>
        </is>
      </c>
      <c r="F476" t="inlineStr">
        <is>
          <t xml:space="preserve">Serviços especializados em informática, para implantação de um sistema que efetue a Gestão da Saúde Pública nas unidades de saúde do Estado do Amazonas, auxiliando no registro e controle de entrada e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93732</t>
        </is>
      </c>
      <c r="B2" t="inlineStr">
        <is>
          <t>19539</t>
        </is>
      </c>
      <c r="C2" t="inlineStr">
        <is>
          <t>24/2016</t>
        </is>
      </c>
      <c r="D2" t="inlineStr">
        <is>
          <t>07/2016</t>
        </is>
      </c>
      <c r="E2" t="n">
        <v>238723.03</v>
      </c>
      <c r="F2" t="inlineStr">
        <is>
          <t>Emitida</t>
        </is>
      </c>
      <c r="G2" t="inlineStr">
        <is>
          <t>COMPLETA</t>
        </is>
      </c>
      <c r="H2" t="n">
        <v>14</v>
      </c>
    </row>
    <row r="3">
      <c r="A3" t="inlineStr">
        <is>
          <t>161532</t>
        </is>
      </c>
      <c r="B3" t="inlineStr">
        <is>
          <t>56524</t>
        </is>
      </c>
      <c r="C3" t="inlineStr">
        <is>
          <t>18/2021</t>
        </is>
      </c>
      <c r="D3" t="inlineStr">
        <is>
          <t>07/2025</t>
        </is>
      </c>
      <c r="E3" t="n">
        <v>185399.5</v>
      </c>
      <c r="F3" t="inlineStr">
        <is>
          <t>Emitida</t>
        </is>
      </c>
      <c r="G3" t="inlineStr">
        <is>
          <t>COMPLETA</t>
        </is>
      </c>
      <c r="H3" t="n">
        <v>150</v>
      </c>
    </row>
    <row r="4">
      <c r="A4" t="inlineStr">
        <is>
          <t>127265</t>
        </is>
      </c>
      <c r="B4" t="inlineStr">
        <is>
          <t>24146</t>
        </is>
      </c>
      <c r="C4" t="inlineStr">
        <is>
          <t>54/2018</t>
        </is>
      </c>
      <c r="D4" t="inlineStr">
        <is>
          <t>09/2021</t>
        </is>
      </c>
      <c r="E4" t="n">
        <v>165777.43</v>
      </c>
      <c r="F4" t="inlineStr">
        <is>
          <t>Parcialmente Paga</t>
        </is>
      </c>
      <c r="G4" t="inlineStr">
        <is>
          <t>COMPLETA</t>
        </is>
      </c>
      <c r="H4" t="n">
        <v>61</v>
      </c>
    </row>
    <row r="5">
      <c r="A5" t="inlineStr">
        <is>
          <t>163045</t>
        </is>
      </c>
      <c r="B5" t="inlineStr">
        <is>
          <t>58034</t>
        </is>
      </c>
      <c r="C5" t="inlineStr">
        <is>
          <t>21/2021</t>
        </is>
      </c>
      <c r="D5" t="inlineStr">
        <is>
          <t>09/2025</t>
        </is>
      </c>
      <c r="E5" t="n">
        <v>160469.55</v>
      </c>
      <c r="F5" t="inlineStr">
        <is>
          <t>Emitida</t>
        </is>
      </c>
      <c r="G5" t="inlineStr">
        <is>
          <t>COMPLETA</t>
        </is>
      </c>
      <c r="H5" t="n">
        <v>68</v>
      </c>
    </row>
    <row r="6">
      <c r="A6" t="inlineStr">
        <is>
          <t>163914</t>
        </is>
      </c>
      <c r="B6" t="inlineStr">
        <is>
          <t>58880</t>
        </is>
      </c>
      <c r="C6" t="inlineStr">
        <is>
          <t>21/2021</t>
        </is>
      </c>
      <c r="D6" t="inlineStr">
        <is>
          <t>10/2025</t>
        </is>
      </c>
      <c r="E6" t="n">
        <v>160469.55</v>
      </c>
      <c r="F6" t="inlineStr">
        <is>
          <t>Emitida</t>
        </is>
      </c>
      <c r="G6" t="inlineStr">
        <is>
          <t>FORTE</t>
        </is>
      </c>
      <c r="H6" t="n">
        <v>68</v>
      </c>
    </row>
    <row r="7">
      <c r="A7" t="inlineStr">
        <is>
          <t>161534</t>
        </is>
      </c>
      <c r="B7" t="inlineStr">
        <is>
          <t>56526</t>
        </is>
      </c>
      <c r="C7" t="inlineStr">
        <is>
          <t>18/2021</t>
        </is>
      </c>
      <c r="D7" t="inlineStr">
        <is>
          <t>07/2025</t>
        </is>
      </c>
      <c r="E7" t="n">
        <v>151234.43</v>
      </c>
      <c r="F7" t="inlineStr">
        <is>
          <t>Emitida</t>
        </is>
      </c>
      <c r="G7" t="inlineStr">
        <is>
          <t>COMPLETA</t>
        </is>
      </c>
      <c r="H7" t="n">
        <v>150</v>
      </c>
    </row>
    <row r="8">
      <c r="A8" t="inlineStr">
        <is>
          <t>137096</t>
        </is>
      </c>
      <c r="B8" t="inlineStr">
        <is>
          <t>33688</t>
        </is>
      </c>
      <c r="C8" t="inlineStr">
        <is>
          <t>54/2018</t>
        </is>
      </c>
      <c r="D8" t="inlineStr">
        <is>
          <t>11/2022</t>
        </is>
      </c>
      <c r="E8" t="n">
        <v>146012.35</v>
      </c>
      <c r="F8" t="inlineStr">
        <is>
          <t>Emitida</t>
        </is>
      </c>
      <c r="G8" t="inlineStr">
        <is>
          <t>COMPLETA</t>
        </is>
      </c>
      <c r="H8" t="n">
        <v>61</v>
      </c>
    </row>
    <row r="9">
      <c r="A9" t="inlineStr">
        <is>
          <t>98319</t>
        </is>
      </c>
      <c r="B9" t="inlineStr">
        <is>
          <t>23827</t>
        </is>
      </c>
      <c r="C9" t="inlineStr">
        <is>
          <t>2/2015</t>
        </is>
      </c>
      <c r="D9" t="inlineStr">
        <is>
          <t>06/2017</t>
        </is>
      </c>
      <c r="E9" t="n">
        <v>142812.78</v>
      </c>
      <c r="F9" t="inlineStr">
        <is>
          <t>Emitida</t>
        </is>
      </c>
      <c r="G9" t="inlineStr">
        <is>
          <t>COMPLETA</t>
        </is>
      </c>
      <c r="H9" t="n">
        <v>137</v>
      </c>
    </row>
    <row r="10">
      <c r="A10" t="inlineStr">
        <is>
          <t>98745</t>
        </is>
      </c>
      <c r="B10" t="inlineStr">
        <is>
          <t>24324</t>
        </is>
      </c>
      <c r="C10" t="inlineStr">
        <is>
          <t>2/2015</t>
        </is>
      </c>
      <c r="D10" t="inlineStr">
        <is>
          <t>07/2017</t>
        </is>
      </c>
      <c r="E10" t="n">
        <v>142812.78</v>
      </c>
      <c r="F10" t="inlineStr">
        <is>
          <t>Emitida</t>
        </is>
      </c>
      <c r="G10" t="inlineStr">
        <is>
          <t>COMPLETA</t>
        </is>
      </c>
      <c r="H10" t="n">
        <v>137</v>
      </c>
    </row>
    <row r="11">
      <c r="A11" t="inlineStr">
        <is>
          <t>99269</t>
        </is>
      </c>
      <c r="B11" t="inlineStr">
        <is>
          <t>24703</t>
        </is>
      </c>
      <c r="C11" t="inlineStr">
        <is>
          <t>2/2015</t>
        </is>
      </c>
      <c r="D11" t="inlineStr">
        <is>
          <t>08/2017</t>
        </is>
      </c>
      <c r="E11" t="n">
        <v>142812.78</v>
      </c>
      <c r="F11" t="inlineStr">
        <is>
          <t>Emitida</t>
        </is>
      </c>
      <c r="G11" t="inlineStr">
        <is>
          <t>COMPLETA</t>
        </is>
      </c>
      <c r="H11" t="n">
        <v>137</v>
      </c>
    </row>
    <row r="12">
      <c r="A12" t="inlineStr">
        <is>
          <t>99701</t>
        </is>
      </c>
      <c r="B12" t="inlineStr">
        <is>
          <t>25097</t>
        </is>
      </c>
      <c r="C12" t="inlineStr">
        <is>
          <t>2/2015</t>
        </is>
      </c>
      <c r="D12" t="inlineStr">
        <is>
          <t>09/2017</t>
        </is>
      </c>
      <c r="E12" t="n">
        <v>142812.78</v>
      </c>
      <c r="F12" t="inlineStr">
        <is>
          <t>Emitida</t>
        </is>
      </c>
      <c r="G12" t="inlineStr">
        <is>
          <t>COMPLETA</t>
        </is>
      </c>
      <c r="H12" t="n">
        <v>137</v>
      </c>
    </row>
    <row r="13">
      <c r="A13" t="inlineStr">
        <is>
          <t>100205</t>
        </is>
      </c>
      <c r="B13" t="inlineStr">
        <is>
          <t>25658</t>
        </is>
      </c>
      <c r="C13" t="inlineStr">
        <is>
          <t>2/2015</t>
        </is>
      </c>
      <c r="D13" t="inlineStr">
        <is>
          <t>10/2017</t>
        </is>
      </c>
      <c r="E13" t="n">
        <v>142812.78</v>
      </c>
      <c r="F13" t="inlineStr">
        <is>
          <t>Emitida</t>
        </is>
      </c>
      <c r="G13" t="inlineStr">
        <is>
          <t>COMPLETA</t>
        </is>
      </c>
      <c r="H13" t="n">
        <v>137</v>
      </c>
    </row>
    <row r="14">
      <c r="A14" t="inlineStr">
        <is>
          <t>100919</t>
        </is>
      </c>
      <c r="B14" t="inlineStr">
        <is>
          <t>26168</t>
        </is>
      </c>
      <c r="C14" t="inlineStr">
        <is>
          <t>2/2015</t>
        </is>
      </c>
      <c r="D14" t="inlineStr">
        <is>
          <t>12/2017</t>
        </is>
      </c>
      <c r="E14" t="n">
        <v>142812.78</v>
      </c>
      <c r="F14" t="inlineStr">
        <is>
          <t>Emitida</t>
        </is>
      </c>
      <c r="G14" t="inlineStr">
        <is>
          <t>COMPLETA</t>
        </is>
      </c>
      <c r="H14" t="n">
        <v>137</v>
      </c>
    </row>
    <row r="15">
      <c r="A15" t="inlineStr">
        <is>
          <t>126765</t>
        </is>
      </c>
      <c r="B15" t="inlineStr">
        <is>
          <t>23739</t>
        </is>
      </c>
      <c r="C15" t="inlineStr">
        <is>
          <t>74/2021</t>
        </is>
      </c>
      <c r="D15" t="inlineStr">
        <is>
          <t>08/2021</t>
        </is>
      </c>
      <c r="E15" t="n">
        <v>139166.79</v>
      </c>
      <c r="F15" t="inlineStr">
        <is>
          <t>Emitida</t>
        </is>
      </c>
      <c r="G15" t="inlineStr">
        <is>
          <t>COMPLETA</t>
        </is>
      </c>
      <c r="H15" t="n">
        <v>4</v>
      </c>
    </row>
    <row r="16">
      <c r="A16" t="inlineStr">
        <is>
          <t>98321</t>
        </is>
      </c>
      <c r="B16" t="inlineStr">
        <is>
          <t>23825</t>
        </is>
      </c>
      <c r="C16" t="inlineStr">
        <is>
          <t>2/2015</t>
        </is>
      </c>
      <c r="D16" t="inlineStr">
        <is>
          <t>06/2017</t>
        </is>
      </c>
      <c r="E16" t="n">
        <v>120187</v>
      </c>
      <c r="F16" t="inlineStr">
        <is>
          <t>Emitida</t>
        </is>
      </c>
      <c r="G16" t="inlineStr">
        <is>
          <t>COMPLETA</t>
        </is>
      </c>
      <c r="H16" t="n">
        <v>137</v>
      </c>
    </row>
    <row r="17">
      <c r="A17" t="inlineStr">
        <is>
          <t>100921</t>
        </is>
      </c>
      <c r="B17" t="inlineStr">
        <is>
          <t>26166</t>
        </is>
      </c>
      <c r="C17" t="inlineStr">
        <is>
          <t>2/2015</t>
        </is>
      </c>
      <c r="D17" t="inlineStr">
        <is>
          <t>12/2017</t>
        </is>
      </c>
      <c r="E17" t="n">
        <v>120187</v>
      </c>
      <c r="F17" t="inlineStr">
        <is>
          <t>Emitida</t>
        </is>
      </c>
      <c r="G17" t="inlineStr">
        <is>
          <t>COMPLETA</t>
        </is>
      </c>
      <c r="H17" t="n">
        <v>137</v>
      </c>
    </row>
    <row r="18">
      <c r="A18" t="inlineStr">
        <is>
          <t>96953</t>
        </is>
      </c>
      <c r="B18" t="inlineStr">
        <is>
          <t>22517</t>
        </is>
      </c>
      <c r="C18" t="inlineStr">
        <is>
          <t>125/2016</t>
        </is>
      </c>
      <c r="D18" t="inlineStr">
        <is>
          <t>03/2017</t>
        </is>
      </c>
      <c r="E18" t="n">
        <v>116763.54</v>
      </c>
      <c r="F18" t="inlineStr">
        <is>
          <t>Emitida</t>
        </is>
      </c>
      <c r="G18" t="inlineStr">
        <is>
          <t>COMPLETA</t>
        </is>
      </c>
      <c r="H18" t="n">
        <v>2</v>
      </c>
    </row>
    <row r="19">
      <c r="A19" t="inlineStr">
        <is>
          <t>161533</t>
        </is>
      </c>
      <c r="B19" t="inlineStr">
        <is>
          <t>56525</t>
        </is>
      </c>
      <c r="C19" t="inlineStr">
        <is>
          <t>18/2021</t>
        </is>
      </c>
      <c r="D19" t="inlineStr">
        <is>
          <t>07/2025</t>
        </is>
      </c>
      <c r="E19" t="n">
        <v>114100</v>
      </c>
      <c r="F19" t="inlineStr">
        <is>
          <t>Emitida</t>
        </is>
      </c>
      <c r="G19" t="inlineStr">
        <is>
          <t>COMPLETA</t>
        </is>
      </c>
      <c r="H19" t="n">
        <v>150</v>
      </c>
    </row>
    <row r="20">
      <c r="A20" t="inlineStr">
        <is>
          <t>163136</t>
        </is>
      </c>
      <c r="B20" t="inlineStr">
        <is>
          <t>58126</t>
        </is>
      </c>
      <c r="C20" t="inlineStr">
        <is>
          <t>18/2021</t>
        </is>
      </c>
      <c r="D20" t="inlineStr">
        <is>
          <t>09/2025</t>
        </is>
      </c>
      <c r="E20" t="n">
        <v>114100</v>
      </c>
      <c r="F20" t="inlineStr">
        <is>
          <t>Emitida</t>
        </is>
      </c>
      <c r="G20" t="inlineStr">
        <is>
          <t>COMPLETA</t>
        </is>
      </c>
      <c r="H20" t="n">
        <v>150</v>
      </c>
    </row>
    <row r="21">
      <c r="A21" t="inlineStr">
        <is>
          <t>96575</t>
        </is>
      </c>
      <c r="B21" t="inlineStr">
        <is>
          <t>22162</t>
        </is>
      </c>
      <c r="C21" t="inlineStr">
        <is>
          <t>125/2016</t>
        </is>
      </c>
      <c r="D21" t="inlineStr">
        <is>
          <t>02/2017</t>
        </is>
      </c>
      <c r="E21" t="n">
        <v>112899.15</v>
      </c>
      <c r="F21" t="inlineStr">
        <is>
          <t>Emitida</t>
        </is>
      </c>
      <c r="G21" t="inlineStr">
        <is>
          <t>COMPLETA</t>
        </is>
      </c>
      <c r="H21" t="n">
        <v>2</v>
      </c>
    </row>
    <row r="22">
      <c r="A22" t="inlineStr">
        <is>
          <t>88373</t>
        </is>
      </c>
      <c r="B22" t="inlineStr">
        <is>
          <t>14713</t>
        </is>
      </c>
      <c r="C22" t="inlineStr">
        <is>
          <t>81/2010</t>
        </is>
      </c>
      <c r="D22" t="inlineStr">
        <is>
          <t>05/2015</t>
        </is>
      </c>
      <c r="E22" t="n">
        <v>104884.8</v>
      </c>
      <c r="F22" t="inlineStr">
        <is>
          <t>Emitida</t>
        </is>
      </c>
      <c r="G22" t="inlineStr">
        <is>
          <t>COMPLETA</t>
        </is>
      </c>
      <c r="H22" t="n">
        <v>14</v>
      </c>
    </row>
    <row r="23">
      <c r="A23" t="inlineStr">
        <is>
          <t>88593</t>
        </is>
      </c>
      <c r="B23" t="inlineStr">
        <is>
          <t>14924</t>
        </is>
      </c>
      <c r="C23" t="inlineStr">
        <is>
          <t>81/2010</t>
        </is>
      </c>
      <c r="D23" t="inlineStr">
        <is>
          <t>06/2015</t>
        </is>
      </c>
      <c r="E23" t="n">
        <v>104884.8</v>
      </c>
      <c r="F23" t="inlineStr">
        <is>
          <t>Emitida</t>
        </is>
      </c>
      <c r="G23" t="inlineStr">
        <is>
          <t>COMPLETA</t>
        </is>
      </c>
      <c r="H23" t="n">
        <v>14</v>
      </c>
    </row>
    <row r="24">
      <c r="A24" t="inlineStr">
        <is>
          <t>89900</t>
        </is>
      </c>
      <c r="B24" t="inlineStr">
        <is>
          <t>16004</t>
        </is>
      </c>
      <c r="C24" t="inlineStr">
        <is>
          <t>81/2010</t>
        </is>
      </c>
      <c r="D24" t="inlineStr">
        <is>
          <t>09/2015</t>
        </is>
      </c>
      <c r="E24" t="n">
        <v>104884.8</v>
      </c>
      <c r="F24" t="inlineStr">
        <is>
          <t>Emitida</t>
        </is>
      </c>
      <c r="G24" t="inlineStr">
        <is>
          <t>COMPLETA</t>
        </is>
      </c>
      <c r="H24" t="n">
        <v>14</v>
      </c>
    </row>
    <row r="25">
      <c r="A25" t="inlineStr">
        <is>
          <t>90389</t>
        </is>
      </c>
      <c r="B25" t="inlineStr">
        <is>
          <t>16443</t>
        </is>
      </c>
      <c r="C25" t="inlineStr">
        <is>
          <t>81/2010</t>
        </is>
      </c>
      <c r="D25" t="inlineStr">
        <is>
          <t>10/2015</t>
        </is>
      </c>
      <c r="E25" t="n">
        <v>104884.8</v>
      </c>
      <c r="F25" t="inlineStr">
        <is>
          <t>Emitida</t>
        </is>
      </c>
      <c r="G25" t="inlineStr">
        <is>
          <t>COMPLETA</t>
        </is>
      </c>
      <c r="H25" t="n">
        <v>14</v>
      </c>
    </row>
    <row r="26">
      <c r="A26" t="inlineStr">
        <is>
          <t>97372</t>
        </is>
      </c>
      <c r="B26" t="inlineStr">
        <is>
          <t>22949</t>
        </is>
      </c>
      <c r="C26" t="inlineStr">
        <is>
          <t>125/2016</t>
        </is>
      </c>
      <c r="D26" t="inlineStr">
        <is>
          <t>04/2017</t>
        </is>
      </c>
      <c r="E26" t="n">
        <v>87978.2</v>
      </c>
      <c r="F26" t="inlineStr">
        <is>
          <t>Emitida</t>
        </is>
      </c>
      <c r="G26" t="inlineStr">
        <is>
          <t>COMPLETA</t>
        </is>
      </c>
      <c r="H26" t="n">
        <v>2</v>
      </c>
    </row>
    <row r="27">
      <c r="A27" t="inlineStr">
        <is>
          <t>98811</t>
        </is>
      </c>
      <c r="B27" t="inlineStr">
        <is>
          <t>24323</t>
        </is>
      </c>
      <c r="C27" t="inlineStr">
        <is>
          <t>2/2015</t>
        </is>
      </c>
      <c r="D27" t="inlineStr">
        <is>
          <t>07/2017</t>
        </is>
      </c>
      <c r="E27" t="n">
        <v>84130.89999999999</v>
      </c>
      <c r="F27" t="inlineStr">
        <is>
          <t>Emitida</t>
        </is>
      </c>
      <c r="G27" t="inlineStr">
        <is>
          <t>COMPLETA</t>
        </is>
      </c>
      <c r="H27" t="n">
        <v>137</v>
      </c>
    </row>
    <row r="28">
      <c r="A28" t="inlineStr">
        <is>
          <t>99271</t>
        </is>
      </c>
      <c r="B28" t="inlineStr">
        <is>
          <t>24701</t>
        </is>
      </c>
      <c r="C28" t="inlineStr">
        <is>
          <t>2/2015</t>
        </is>
      </c>
      <c r="D28" t="inlineStr">
        <is>
          <t>08/2017</t>
        </is>
      </c>
      <c r="E28" t="n">
        <v>84130.89999999999</v>
      </c>
      <c r="F28" t="inlineStr">
        <is>
          <t>Emitida</t>
        </is>
      </c>
      <c r="G28" t="inlineStr">
        <is>
          <t>COMPLETA</t>
        </is>
      </c>
      <c r="H28" t="n">
        <v>137</v>
      </c>
    </row>
    <row r="29">
      <c r="A29" t="inlineStr">
        <is>
          <t>99703</t>
        </is>
      </c>
      <c r="B29" t="inlineStr">
        <is>
          <t>25096</t>
        </is>
      </c>
      <c r="C29" t="inlineStr">
        <is>
          <t>2/2015</t>
        </is>
      </c>
      <c r="D29" t="inlineStr">
        <is>
          <t>09/2017</t>
        </is>
      </c>
      <c r="E29" t="n">
        <v>84130.89999999999</v>
      </c>
      <c r="F29" t="inlineStr">
        <is>
          <t>Emitida</t>
        </is>
      </c>
      <c r="G29" t="inlineStr">
        <is>
          <t>COMPLETA</t>
        </is>
      </c>
      <c r="H29" t="n">
        <v>137</v>
      </c>
    </row>
    <row r="30">
      <c r="A30" t="inlineStr">
        <is>
          <t>100207</t>
        </is>
      </c>
      <c r="B30" t="inlineStr">
        <is>
          <t>25660</t>
        </is>
      </c>
      <c r="C30" t="inlineStr">
        <is>
          <t>2/2015</t>
        </is>
      </c>
      <c r="D30" t="inlineStr">
        <is>
          <t>10/2017</t>
        </is>
      </c>
      <c r="E30" t="n">
        <v>84130.89999999999</v>
      </c>
      <c r="F30" t="inlineStr">
        <is>
          <t>Emitida</t>
        </is>
      </c>
      <c r="G30" t="inlineStr">
        <is>
          <t>COMPLETA</t>
        </is>
      </c>
      <c r="H30" t="n">
        <v>137</v>
      </c>
    </row>
    <row r="31">
      <c r="A31" t="inlineStr">
        <is>
          <t>102109</t>
        </is>
      </c>
      <c r="B31" t="inlineStr">
        <is>
          <t>838</t>
        </is>
      </c>
      <c r="C31" t="inlineStr">
        <is>
          <t>254/2017</t>
        </is>
      </c>
      <c r="D31" t="inlineStr">
        <is>
          <t>02/2018</t>
        </is>
      </c>
      <c r="E31" t="n">
        <v>81848.55</v>
      </c>
      <c r="F31" t="inlineStr">
        <is>
          <t>Emitida</t>
        </is>
      </c>
      <c r="G31" t="inlineStr">
        <is>
          <t>COMPLETA</t>
        </is>
      </c>
      <c r="H31" t="n">
        <v>1</v>
      </c>
    </row>
    <row r="32">
      <c r="A32" t="inlineStr">
        <is>
          <t>97942</t>
        </is>
      </c>
      <c r="B32" t="inlineStr">
        <is>
          <t>23440</t>
        </is>
      </c>
      <c r="C32" t="inlineStr">
        <is>
          <t>125/2016</t>
        </is>
      </c>
      <c r="D32" t="inlineStr">
        <is>
          <t>05/2017</t>
        </is>
      </c>
      <c r="E32" t="n">
        <v>73266.06</v>
      </c>
      <c r="F32" t="inlineStr">
        <is>
          <t>Emitida</t>
        </is>
      </c>
      <c r="G32" t="inlineStr">
        <is>
          <t>COMPLETA</t>
        </is>
      </c>
      <c r="H32" t="n">
        <v>2</v>
      </c>
    </row>
    <row r="33">
      <c r="A33" t="inlineStr">
        <is>
          <t>163137</t>
        </is>
      </c>
      <c r="B33" t="inlineStr">
        <is>
          <t>58122</t>
        </is>
      </c>
      <c r="C33" t="inlineStr">
        <is>
          <t>18/2021</t>
        </is>
      </c>
      <c r="D33" t="inlineStr">
        <is>
          <t>09/2025</t>
        </is>
      </c>
      <c r="E33" t="n">
        <v>69466.03</v>
      </c>
      <c r="F33" t="inlineStr">
        <is>
          <t>Emitida</t>
        </is>
      </c>
      <c r="G33" t="inlineStr">
        <is>
          <t>COMPLETA</t>
        </is>
      </c>
      <c r="H33" t="n">
        <v>150</v>
      </c>
    </row>
    <row r="34">
      <c r="A34" t="inlineStr">
        <is>
          <t>163046</t>
        </is>
      </c>
      <c r="B34" t="inlineStr">
        <is>
          <t>58039</t>
        </is>
      </c>
      <c r="C34" t="inlineStr">
        <is>
          <t>21/2021</t>
        </is>
      </c>
      <c r="D34" t="inlineStr">
        <is>
          <t>09/2025</t>
        </is>
      </c>
      <c r="E34" t="n">
        <v>66565.09</v>
      </c>
      <c r="F34" t="inlineStr">
        <is>
          <t>Emitida</t>
        </is>
      </c>
      <c r="G34" t="inlineStr">
        <is>
          <t>COMPLETA</t>
        </is>
      </c>
      <c r="H34" t="n">
        <v>68</v>
      </c>
    </row>
    <row r="35">
      <c r="A35" t="inlineStr">
        <is>
          <t>163915</t>
        </is>
      </c>
      <c r="B35" t="inlineStr">
        <is>
          <t>58879</t>
        </is>
      </c>
      <c r="C35" t="inlineStr">
        <is>
          <t>21/2021</t>
        </is>
      </c>
      <c r="D35" t="inlineStr">
        <is>
          <t>10/2025</t>
        </is>
      </c>
      <c r="E35" t="n">
        <v>66565.09</v>
      </c>
      <c r="F35" t="inlineStr">
        <is>
          <t>Emitida</t>
        </is>
      </c>
      <c r="G35" t="inlineStr">
        <is>
          <t>COMPLETA</t>
        </is>
      </c>
      <c r="H35" t="n">
        <v>68</v>
      </c>
    </row>
    <row r="36">
      <c r="A36" t="inlineStr">
        <is>
          <t>160785</t>
        </is>
      </c>
      <c r="B36" t="inlineStr">
        <is>
          <t>55842</t>
        </is>
      </c>
      <c r="C36" t="inlineStr">
        <is>
          <t>18/2021</t>
        </is>
      </c>
      <c r="D36" t="inlineStr">
        <is>
          <t>06/2025</t>
        </is>
      </c>
      <c r="E36" t="n">
        <v>64656.67</v>
      </c>
      <c r="F36" t="inlineStr">
        <is>
          <t>Emitida</t>
        </is>
      </c>
      <c r="G36" t="inlineStr">
        <is>
          <t>COMPLETA</t>
        </is>
      </c>
      <c r="H36" t="n">
        <v>150</v>
      </c>
    </row>
    <row r="37">
      <c r="A37" t="inlineStr">
        <is>
          <t>95775</t>
        </is>
      </c>
      <c r="B37" t="inlineStr">
        <is>
          <t>21407</t>
        </is>
      </c>
      <c r="C37" t="inlineStr">
        <is>
          <t>248/2016</t>
        </is>
      </c>
      <c r="D37" t="inlineStr">
        <is>
          <t>11/2016</t>
        </is>
      </c>
      <c r="E37" t="n">
        <v>58301.64</v>
      </c>
      <c r="F37" t="inlineStr">
        <is>
          <t>Emitida</t>
        </is>
      </c>
      <c r="G37" t="inlineStr">
        <is>
          <t>COMPLETA</t>
        </is>
      </c>
      <c r="H37" t="n">
        <v>2</v>
      </c>
    </row>
    <row r="38">
      <c r="A38" t="inlineStr">
        <is>
          <t>95789</t>
        </is>
      </c>
      <c r="B38" t="inlineStr">
        <is>
          <t>21422</t>
        </is>
      </c>
      <c r="C38" t="inlineStr">
        <is>
          <t>248/2016</t>
        </is>
      </c>
      <c r="D38" t="inlineStr">
        <is>
          <t>12/2016</t>
        </is>
      </c>
      <c r="E38" t="n">
        <v>58301.64</v>
      </c>
      <c r="F38" t="inlineStr">
        <is>
          <t>Emitida</t>
        </is>
      </c>
      <c r="G38" t="inlineStr">
        <is>
          <t>COMPLETA</t>
        </is>
      </c>
      <c r="H38" t="n">
        <v>2</v>
      </c>
    </row>
    <row r="39">
      <c r="A39" t="inlineStr">
        <is>
          <t>96479</t>
        </is>
      </c>
      <c r="B39" t="inlineStr">
        <is>
          <t>22105</t>
        </is>
      </c>
      <c r="C39" t="inlineStr">
        <is>
          <t>248/2016</t>
        </is>
      </c>
      <c r="D39" t="inlineStr">
        <is>
          <t>02/2017</t>
        </is>
      </c>
      <c r="E39" t="n">
        <v>58301.64</v>
      </c>
      <c r="F39" t="inlineStr">
        <is>
          <t>Emitida</t>
        </is>
      </c>
      <c r="G39" t="inlineStr">
        <is>
          <t>COMPLETA</t>
        </is>
      </c>
      <c r="H39" t="n">
        <v>2</v>
      </c>
    </row>
    <row r="40">
      <c r="A40" t="inlineStr">
        <is>
          <t>96887</t>
        </is>
      </c>
      <c r="B40" t="inlineStr">
        <is>
          <t>22519</t>
        </is>
      </c>
      <c r="C40" t="inlineStr">
        <is>
          <t>248/2016</t>
        </is>
      </c>
      <c r="D40" t="inlineStr">
        <is>
          <t>03/2017</t>
        </is>
      </c>
      <c r="E40" t="n">
        <v>58301.64</v>
      </c>
      <c r="F40" t="inlineStr">
        <is>
          <t>Emitida</t>
        </is>
      </c>
      <c r="G40" t="inlineStr">
        <is>
          <t>COMPLETA</t>
        </is>
      </c>
      <c r="H40" t="n">
        <v>2</v>
      </c>
    </row>
    <row r="41">
      <c r="A41" t="inlineStr">
        <is>
          <t>97370</t>
        </is>
      </c>
      <c r="B41" t="inlineStr">
        <is>
          <t>22952</t>
        </is>
      </c>
      <c r="C41" t="inlineStr">
        <is>
          <t>248/2016</t>
        </is>
      </c>
      <c r="D41" t="inlineStr">
        <is>
          <t>04/2017</t>
        </is>
      </c>
      <c r="E41" t="n">
        <v>58301.64</v>
      </c>
      <c r="F41" t="inlineStr">
        <is>
          <t>Emitida</t>
        </is>
      </c>
      <c r="G41" t="inlineStr">
        <is>
          <t>COMPLETA</t>
        </is>
      </c>
      <c r="H41" t="n">
        <v>2</v>
      </c>
    </row>
    <row r="42">
      <c r="A42" t="inlineStr">
        <is>
          <t>97944</t>
        </is>
      </c>
      <c r="B42" t="inlineStr">
        <is>
          <t>23443</t>
        </is>
      </c>
      <c r="C42" t="inlineStr">
        <is>
          <t>248/2016</t>
        </is>
      </c>
      <c r="D42" t="inlineStr">
        <is>
          <t>05/2017</t>
        </is>
      </c>
      <c r="E42" t="n">
        <v>58301.64</v>
      </c>
      <c r="F42" t="inlineStr">
        <is>
          <t>Emitida</t>
        </is>
      </c>
      <c r="G42" t="inlineStr">
        <is>
          <t>COMPLETA</t>
        </is>
      </c>
      <c r="H42" t="n">
        <v>2</v>
      </c>
    </row>
    <row r="43">
      <c r="A43" t="inlineStr">
        <is>
          <t>94455</t>
        </is>
      </c>
      <c r="B43" t="inlineStr">
        <is>
          <t>20218</t>
        </is>
      </c>
      <c r="C43" t="inlineStr">
        <is>
          <t>116/2013</t>
        </is>
      </c>
      <c r="D43" t="inlineStr">
        <is>
          <t>08/2016</t>
        </is>
      </c>
      <c r="E43" t="n">
        <v>58301.61</v>
      </c>
      <c r="F43" t="inlineStr">
        <is>
          <t>Emitida</t>
        </is>
      </c>
      <c r="G43" t="inlineStr">
        <is>
          <t>COMPLETA</t>
        </is>
      </c>
      <c r="H43" t="n">
        <v>20</v>
      </c>
    </row>
    <row r="44">
      <c r="A44" t="inlineStr">
        <is>
          <t>94459</t>
        </is>
      </c>
      <c r="B44" t="inlineStr">
        <is>
          <t>20222</t>
        </is>
      </c>
      <c r="C44" t="inlineStr">
        <is>
          <t>116/2013</t>
        </is>
      </c>
      <c r="D44" t="inlineStr">
        <is>
          <t>09/2016</t>
        </is>
      </c>
      <c r="E44" t="n">
        <v>58301.61</v>
      </c>
      <c r="F44" t="inlineStr">
        <is>
          <t>Emitida</t>
        </is>
      </c>
      <c r="G44" t="inlineStr">
        <is>
          <t>COMPLETA</t>
        </is>
      </c>
      <c r="H44" t="n">
        <v>20</v>
      </c>
    </row>
    <row r="45">
      <c r="A45" t="inlineStr">
        <is>
          <t>94828</t>
        </is>
      </c>
      <c r="B45" t="inlineStr">
        <is>
          <t>20555</t>
        </is>
      </c>
      <c r="C45" t="inlineStr">
        <is>
          <t>116/2013</t>
        </is>
      </c>
      <c r="D45" t="inlineStr">
        <is>
          <t>10/2016</t>
        </is>
      </c>
      <c r="E45" t="n">
        <v>58301.61</v>
      </c>
      <c r="F45" t="inlineStr">
        <is>
          <t>Emitida</t>
        </is>
      </c>
      <c r="G45" t="inlineStr">
        <is>
          <t>COMPLETA</t>
        </is>
      </c>
      <c r="H45" t="n">
        <v>20</v>
      </c>
    </row>
    <row r="46">
      <c r="A46" t="inlineStr">
        <is>
          <t>93733</t>
        </is>
      </c>
      <c r="B46" t="inlineStr">
        <is>
          <t>19540</t>
        </is>
      </c>
      <c r="C46" t="inlineStr">
        <is>
          <t>24/2016</t>
        </is>
      </c>
      <c r="D46" t="inlineStr">
        <is>
          <t>07/2016</t>
        </is>
      </c>
      <c r="E46" t="n">
        <v>57575.19</v>
      </c>
      <c r="F46" t="inlineStr">
        <is>
          <t>Emitida</t>
        </is>
      </c>
      <c r="G46" t="inlineStr">
        <is>
          <t>COMPLETA</t>
        </is>
      </c>
      <c r="H46" t="n">
        <v>14</v>
      </c>
    </row>
    <row r="47">
      <c r="A47" t="inlineStr">
        <is>
          <t>89871</t>
        </is>
      </c>
      <c r="B47" t="inlineStr">
        <is>
          <t>16001</t>
        </is>
      </c>
      <c r="C47" t="inlineStr">
        <is>
          <t>116/2013</t>
        </is>
      </c>
      <c r="D47" t="inlineStr">
        <is>
          <t>09/2015</t>
        </is>
      </c>
      <c r="E47" t="n">
        <v>56764.21</v>
      </c>
      <c r="F47" t="inlineStr">
        <is>
          <t>Emitida</t>
        </is>
      </c>
      <c r="G47" t="inlineStr">
        <is>
          <t>COMPLETA</t>
        </is>
      </c>
      <c r="H47" t="n">
        <v>20</v>
      </c>
    </row>
    <row r="48">
      <c r="A48" t="inlineStr">
        <is>
          <t>90291</t>
        </is>
      </c>
      <c r="B48" t="inlineStr">
        <is>
          <t>16353</t>
        </is>
      </c>
      <c r="C48" t="inlineStr">
        <is>
          <t>116/2013</t>
        </is>
      </c>
      <c r="D48" t="inlineStr">
        <is>
          <t>10/2015</t>
        </is>
      </c>
      <c r="E48" t="n">
        <v>56764.21</v>
      </c>
      <c r="F48" t="inlineStr">
        <is>
          <t>Emitida</t>
        </is>
      </c>
      <c r="G48" t="inlineStr">
        <is>
          <t>COMPLETA</t>
        </is>
      </c>
      <c r="H48" t="n">
        <v>20</v>
      </c>
    </row>
    <row r="49">
      <c r="A49" t="inlineStr">
        <is>
          <t>90643</t>
        </is>
      </c>
      <c r="B49" t="inlineStr">
        <is>
          <t>16671</t>
        </is>
      </c>
      <c r="C49" t="inlineStr">
        <is>
          <t>116/2013</t>
        </is>
      </c>
      <c r="D49" t="inlineStr">
        <is>
          <t>11/2015</t>
        </is>
      </c>
      <c r="E49" t="n">
        <v>56764.21</v>
      </c>
      <c r="F49" t="inlineStr">
        <is>
          <t>Emitida</t>
        </is>
      </c>
      <c r="G49" t="inlineStr">
        <is>
          <t>COMPLETA</t>
        </is>
      </c>
      <c r="H49" t="n">
        <v>20</v>
      </c>
    </row>
    <row r="50">
      <c r="A50" t="inlineStr">
        <is>
          <t>94457</t>
        </is>
      </c>
      <c r="B50" t="inlineStr">
        <is>
          <t>20221</t>
        </is>
      </c>
      <c r="C50" t="inlineStr">
        <is>
          <t>116/2013</t>
        </is>
      </c>
      <c r="D50" t="inlineStr">
        <is>
          <t>09/2016</t>
        </is>
      </c>
      <c r="E50" t="n">
        <v>56764.21</v>
      </c>
      <c r="F50" t="inlineStr">
        <is>
          <t>Emitida</t>
        </is>
      </c>
      <c r="G50" t="inlineStr">
        <is>
          <t>COMPLETA</t>
        </is>
      </c>
      <c r="H50" t="n">
        <v>20</v>
      </c>
    </row>
    <row r="51">
      <c r="A51" t="inlineStr">
        <is>
          <t>94453</t>
        </is>
      </c>
      <c r="B51" t="inlineStr">
        <is>
          <t>20219</t>
        </is>
      </c>
      <c r="C51" t="inlineStr">
        <is>
          <t>116/2013</t>
        </is>
      </c>
      <c r="D51" t="inlineStr">
        <is>
          <t>08/2016</t>
        </is>
      </c>
      <c r="E51" t="n">
        <v>56764.21</v>
      </c>
      <c r="F51" t="inlineStr">
        <is>
          <t>Emitida</t>
        </is>
      </c>
      <c r="G51" t="inlineStr">
        <is>
          <t>COMPLETA</t>
        </is>
      </c>
      <c r="H51" t="n">
        <v>20</v>
      </c>
    </row>
    <row r="52">
      <c r="A52" t="inlineStr">
        <is>
          <t>94826</t>
        </is>
      </c>
      <c r="B52" t="inlineStr">
        <is>
          <t>20556</t>
        </is>
      </c>
      <c r="C52" t="inlineStr">
        <is>
          <t>116/2013</t>
        </is>
      </c>
      <c r="D52" t="inlineStr">
        <is>
          <t>10/2016</t>
        </is>
      </c>
      <c r="E52" t="n">
        <v>56764.21</v>
      </c>
      <c r="F52" t="inlineStr">
        <is>
          <t>Emitida</t>
        </is>
      </c>
      <c r="G52" t="inlineStr">
        <is>
          <t>COMPLETA</t>
        </is>
      </c>
      <c r="H52" t="n">
        <v>20</v>
      </c>
    </row>
    <row r="53">
      <c r="A53" t="inlineStr">
        <is>
          <t>96478</t>
        </is>
      </c>
      <c r="B53" t="inlineStr">
        <is>
          <t>22107</t>
        </is>
      </c>
      <c r="C53" t="inlineStr">
        <is>
          <t>248/2016</t>
        </is>
      </c>
      <c r="D53" t="inlineStr">
        <is>
          <t>02/2017</t>
        </is>
      </c>
      <c r="E53" t="n">
        <v>56764.21</v>
      </c>
      <c r="F53" t="inlineStr">
        <is>
          <t>Emitida</t>
        </is>
      </c>
      <c r="G53" t="inlineStr">
        <is>
          <t>COMPLETA</t>
        </is>
      </c>
      <c r="H53" t="n">
        <v>2</v>
      </c>
    </row>
    <row r="54">
      <c r="A54" t="inlineStr">
        <is>
          <t>96886</t>
        </is>
      </c>
      <c r="B54" t="inlineStr">
        <is>
          <t>22520</t>
        </is>
      </c>
      <c r="C54" t="inlineStr">
        <is>
          <t>248/2016</t>
        </is>
      </c>
      <c r="D54" t="inlineStr">
        <is>
          <t>03/2017</t>
        </is>
      </c>
      <c r="E54" t="n">
        <v>56764.21</v>
      </c>
      <c r="F54" t="inlineStr">
        <is>
          <t>Emitida</t>
        </is>
      </c>
      <c r="G54" t="inlineStr">
        <is>
          <t>COMPLETA</t>
        </is>
      </c>
      <c r="H54" t="n">
        <v>2</v>
      </c>
    </row>
    <row r="55">
      <c r="A55" t="inlineStr">
        <is>
          <t>97371</t>
        </is>
      </c>
      <c r="B55" t="inlineStr">
        <is>
          <t>22951</t>
        </is>
      </c>
      <c r="C55" t="inlineStr">
        <is>
          <t>248/2016</t>
        </is>
      </c>
      <c r="D55" t="inlineStr">
        <is>
          <t>04/2017</t>
        </is>
      </c>
      <c r="E55" t="n">
        <v>56764.21</v>
      </c>
      <c r="F55" t="inlineStr">
        <is>
          <t>Emitida</t>
        </is>
      </c>
      <c r="G55" t="inlineStr">
        <is>
          <t>COMPLETA</t>
        </is>
      </c>
      <c r="H55" t="n">
        <v>2</v>
      </c>
    </row>
    <row r="56">
      <c r="A56" t="inlineStr">
        <is>
          <t>97943</t>
        </is>
      </c>
      <c r="B56" t="inlineStr">
        <is>
          <t>23441</t>
        </is>
      </c>
      <c r="C56" t="inlineStr">
        <is>
          <t>248/2016</t>
        </is>
      </c>
      <c r="D56" t="inlineStr">
        <is>
          <t>05/2017</t>
        </is>
      </c>
      <c r="E56" t="n">
        <v>56764.21</v>
      </c>
      <c r="F56" t="inlineStr">
        <is>
          <t>Emitida</t>
        </is>
      </c>
      <c r="G56" t="inlineStr">
        <is>
          <t>COMPLETA</t>
        </is>
      </c>
      <c r="H56" t="n">
        <v>2</v>
      </c>
    </row>
    <row r="57">
      <c r="A57" t="inlineStr">
        <is>
          <t>161933</t>
        </is>
      </c>
      <c r="B57" t="inlineStr">
        <is>
          <t>56939</t>
        </is>
      </c>
      <c r="C57" t="inlineStr">
        <is>
          <t>21/2021</t>
        </is>
      </c>
      <c r="D57" t="inlineStr">
        <is>
          <t>08/2025</t>
        </is>
      </c>
      <c r="E57" t="n">
        <v>54229.44</v>
      </c>
      <c r="F57" t="inlineStr">
        <is>
          <t>Emitida</t>
        </is>
      </c>
      <c r="G57" t="inlineStr">
        <is>
          <t>COMPLETA</t>
        </is>
      </c>
      <c r="H57" t="n">
        <v>68</v>
      </c>
    </row>
    <row r="58">
      <c r="A58" t="inlineStr">
        <is>
          <t>160786</t>
        </is>
      </c>
      <c r="B58" t="inlineStr">
        <is>
          <t>55844</t>
        </is>
      </c>
      <c r="C58" t="inlineStr">
        <is>
          <t>18/2021</t>
        </is>
      </c>
      <c r="D58" t="inlineStr">
        <is>
          <t>06/2025</t>
        </is>
      </c>
      <c r="E58" t="n">
        <v>51804.33</v>
      </c>
      <c r="F58" t="inlineStr">
        <is>
          <t>Emitida</t>
        </is>
      </c>
      <c r="G58" t="inlineStr">
        <is>
          <t>COMPLETA</t>
        </is>
      </c>
      <c r="H58" t="n">
        <v>150</v>
      </c>
    </row>
    <row r="59">
      <c r="A59" t="inlineStr">
        <is>
          <t>160750</t>
        </is>
      </c>
      <c r="B59" t="inlineStr">
        <is>
          <t>55796</t>
        </is>
      </c>
      <c r="C59" t="inlineStr">
        <is>
          <t>18/2021</t>
        </is>
      </c>
      <c r="D59" t="inlineStr">
        <is>
          <t>06/2025</t>
        </is>
      </c>
      <c r="E59" t="n">
        <v>49109.27</v>
      </c>
      <c r="F59" t="inlineStr">
        <is>
          <t>Emitida</t>
        </is>
      </c>
      <c r="G59" t="inlineStr">
        <is>
          <t>COMPLETA</t>
        </is>
      </c>
      <c r="H59" t="n">
        <v>150</v>
      </c>
    </row>
    <row r="60">
      <c r="A60" t="inlineStr">
        <is>
          <t>126766</t>
        </is>
      </c>
      <c r="B60" t="inlineStr">
        <is>
          <t>23738</t>
        </is>
      </c>
      <c r="C60" t="inlineStr">
        <is>
          <t>74/2021</t>
        </is>
      </c>
      <c r="D60" t="inlineStr">
        <is>
          <t>08/2021</t>
        </is>
      </c>
      <c r="E60" t="n">
        <v>48637.5</v>
      </c>
      <c r="F60" t="inlineStr">
        <is>
          <t>Emitida</t>
        </is>
      </c>
      <c r="G60" t="inlineStr">
        <is>
          <t>COMPLETA</t>
        </is>
      </c>
      <c r="H60" t="n">
        <v>4</v>
      </c>
    </row>
    <row r="61">
      <c r="A61" t="inlineStr">
        <is>
          <t>161531</t>
        </is>
      </c>
      <c r="B61" t="inlineStr">
        <is>
          <t>56527</t>
        </is>
      </c>
      <c r="C61" t="inlineStr">
        <is>
          <t>18/2021</t>
        </is>
      </c>
      <c r="D61" t="inlineStr">
        <is>
          <t>07/2025</t>
        </is>
      </c>
      <c r="E61" t="n">
        <v>42644</v>
      </c>
      <c r="F61" t="inlineStr">
        <is>
          <t>Emitida</t>
        </is>
      </c>
      <c r="G61" t="inlineStr">
        <is>
          <t>COMPLETA</t>
        </is>
      </c>
      <c r="H61" t="n">
        <v>150</v>
      </c>
    </row>
    <row r="62">
      <c r="A62" t="inlineStr">
        <is>
          <t>160661</t>
        </is>
      </c>
      <c r="B62" t="inlineStr">
        <is>
          <t>55737</t>
        </is>
      </c>
      <c r="C62" t="inlineStr">
        <is>
          <t>18/2021</t>
        </is>
      </c>
      <c r="D62" t="inlineStr">
        <is>
          <t>06/2025</t>
        </is>
      </c>
      <c r="E62" t="n">
        <v>39664.57</v>
      </c>
      <c r="F62" t="inlineStr">
        <is>
          <t>Emitida</t>
        </is>
      </c>
      <c r="G62" t="inlineStr">
        <is>
          <t>COMPLETA</t>
        </is>
      </c>
      <c r="H62" t="n">
        <v>150</v>
      </c>
    </row>
    <row r="63">
      <c r="A63" t="inlineStr">
        <is>
          <t>90644</t>
        </is>
      </c>
      <c r="B63" t="inlineStr">
        <is>
          <t>16673</t>
        </is>
      </c>
      <c r="C63" t="inlineStr">
        <is>
          <t>116/2013</t>
        </is>
      </c>
      <c r="D63" t="inlineStr">
        <is>
          <t>11/2015</t>
        </is>
      </c>
      <c r="E63" t="n">
        <v>38949.96</v>
      </c>
      <c r="F63" t="inlineStr">
        <is>
          <t>Emitida</t>
        </is>
      </c>
      <c r="G63" t="inlineStr">
        <is>
          <t>COMPLETA</t>
        </is>
      </c>
      <c r="H63" t="n">
        <v>20</v>
      </c>
    </row>
    <row r="64">
      <c r="A64" t="inlineStr">
        <is>
          <t>91122</t>
        </is>
      </c>
      <c r="B64" t="inlineStr">
        <is>
          <t>17096</t>
        </is>
      </c>
      <c r="C64" t="inlineStr">
        <is>
          <t>116/2013</t>
        </is>
      </c>
      <c r="D64" t="inlineStr">
        <is>
          <t>12/2015</t>
        </is>
      </c>
      <c r="E64" t="n">
        <v>38949.96</v>
      </c>
      <c r="F64" t="inlineStr">
        <is>
          <t>Emitida</t>
        </is>
      </c>
      <c r="G64" t="inlineStr">
        <is>
          <t>COMPLETA</t>
        </is>
      </c>
      <c r="H64" t="n">
        <v>20</v>
      </c>
    </row>
    <row r="65">
      <c r="A65" t="inlineStr">
        <is>
          <t>94458</t>
        </is>
      </c>
      <c r="B65" t="inlineStr">
        <is>
          <t>20220</t>
        </is>
      </c>
      <c r="C65" t="inlineStr">
        <is>
          <t>116/2013</t>
        </is>
      </c>
      <c r="D65" t="inlineStr">
        <is>
          <t>09/2016</t>
        </is>
      </c>
      <c r="E65" t="n">
        <v>38949.96</v>
      </c>
      <c r="F65" t="inlineStr">
        <is>
          <t>Emitida</t>
        </is>
      </c>
      <c r="G65" t="inlineStr">
        <is>
          <t>COMPLETA</t>
        </is>
      </c>
      <c r="H65" t="n">
        <v>20</v>
      </c>
    </row>
    <row r="66">
      <c r="A66" t="inlineStr">
        <is>
          <t>94454</t>
        </is>
      </c>
      <c r="B66" t="inlineStr">
        <is>
          <t>20217</t>
        </is>
      </c>
      <c r="C66" t="inlineStr">
        <is>
          <t>116/2013</t>
        </is>
      </c>
      <c r="D66" t="inlineStr">
        <is>
          <t>08/2016</t>
        </is>
      </c>
      <c r="E66" t="n">
        <v>38949.96</v>
      </c>
      <c r="F66" t="inlineStr">
        <is>
          <t>Emitida</t>
        </is>
      </c>
      <c r="G66" t="inlineStr">
        <is>
          <t>COMPLETA</t>
        </is>
      </c>
      <c r="H66" t="n">
        <v>20</v>
      </c>
    </row>
    <row r="67">
      <c r="A67" t="inlineStr">
        <is>
          <t>94827</t>
        </is>
      </c>
      <c r="B67" t="inlineStr">
        <is>
          <t>20557</t>
        </is>
      </c>
      <c r="C67" t="inlineStr">
        <is>
          <t>116/2013</t>
        </is>
      </c>
      <c r="D67" t="inlineStr">
        <is>
          <t>10/2016</t>
        </is>
      </c>
      <c r="E67" t="n">
        <v>38949.96</v>
      </c>
      <c r="F67" t="inlineStr">
        <is>
          <t>Emitida</t>
        </is>
      </c>
      <c r="G67" t="inlineStr">
        <is>
          <t>COMPLETA</t>
        </is>
      </c>
      <c r="H67" t="n">
        <v>20</v>
      </c>
    </row>
    <row r="68">
      <c r="A68" t="inlineStr">
        <is>
          <t>95771</t>
        </is>
      </c>
      <c r="B68" t="inlineStr">
        <is>
          <t>21424</t>
        </is>
      </c>
      <c r="C68" t="inlineStr">
        <is>
          <t>248/2016</t>
        </is>
      </c>
      <c r="D68" t="inlineStr">
        <is>
          <t>12/2016</t>
        </is>
      </c>
      <c r="E68" t="n">
        <v>38949.96</v>
      </c>
      <c r="F68" t="inlineStr">
        <is>
          <t>Emitida</t>
        </is>
      </c>
      <c r="G68" t="inlineStr">
        <is>
          <t>COMPLETA</t>
        </is>
      </c>
      <c r="H68" t="n">
        <v>2</v>
      </c>
    </row>
    <row r="69">
      <c r="A69" t="inlineStr">
        <is>
          <t>95773</t>
        </is>
      </c>
      <c r="B69" t="inlineStr">
        <is>
          <t>21421</t>
        </is>
      </c>
      <c r="C69" t="inlineStr">
        <is>
          <t>248/2016</t>
        </is>
      </c>
      <c r="D69" t="inlineStr">
        <is>
          <t>11/2016</t>
        </is>
      </c>
      <c r="E69" t="n">
        <v>38949.96</v>
      </c>
      <c r="F69" t="inlineStr">
        <is>
          <t>Emitida</t>
        </is>
      </c>
      <c r="G69" t="inlineStr">
        <is>
          <t>COMPLETA</t>
        </is>
      </c>
      <c r="H69" t="n">
        <v>2</v>
      </c>
    </row>
    <row r="70">
      <c r="A70" t="inlineStr">
        <is>
          <t>96480</t>
        </is>
      </c>
      <c r="B70" t="inlineStr">
        <is>
          <t>22106</t>
        </is>
      </c>
      <c r="C70" t="inlineStr">
        <is>
          <t>248/2016</t>
        </is>
      </c>
      <c r="D70" t="inlineStr">
        <is>
          <t>02/2017</t>
        </is>
      </c>
      <c r="E70" t="n">
        <v>38949.96</v>
      </c>
      <c r="F70" t="inlineStr">
        <is>
          <t>Emitida</t>
        </is>
      </c>
      <c r="G70" t="inlineStr">
        <is>
          <t>COMPLETA</t>
        </is>
      </c>
      <c r="H70" t="n">
        <v>2</v>
      </c>
    </row>
    <row r="71">
      <c r="A71" t="inlineStr">
        <is>
          <t>96888</t>
        </is>
      </c>
      <c r="B71" t="inlineStr">
        <is>
          <t>22518</t>
        </is>
      </c>
      <c r="C71" t="inlineStr">
        <is>
          <t>248/2016</t>
        </is>
      </c>
      <c r="D71" t="inlineStr">
        <is>
          <t>03/2017</t>
        </is>
      </c>
      <c r="E71" t="n">
        <v>38949.96</v>
      </c>
      <c r="F71" t="inlineStr">
        <is>
          <t>Emitida</t>
        </is>
      </c>
      <c r="G71" t="inlineStr">
        <is>
          <t>COMPLETA</t>
        </is>
      </c>
      <c r="H71" t="n">
        <v>2</v>
      </c>
    </row>
    <row r="72">
      <c r="A72" t="inlineStr">
        <is>
          <t>97369</t>
        </is>
      </c>
      <c r="B72" t="inlineStr">
        <is>
          <t>22953</t>
        </is>
      </c>
      <c r="C72" t="inlineStr">
        <is>
          <t>248/2016</t>
        </is>
      </c>
      <c r="D72" t="inlineStr">
        <is>
          <t>04/2017</t>
        </is>
      </c>
      <c r="E72" t="n">
        <v>38949.96</v>
      </c>
      <c r="F72" t="inlineStr">
        <is>
          <t>Emitida</t>
        </is>
      </c>
      <c r="G72" t="inlineStr">
        <is>
          <t>COMPLETA</t>
        </is>
      </c>
      <c r="H72" t="n">
        <v>2</v>
      </c>
    </row>
    <row r="73">
      <c r="A73" t="inlineStr">
        <is>
          <t>97945</t>
        </is>
      </c>
      <c r="B73" t="inlineStr">
        <is>
          <t>23442</t>
        </is>
      </c>
      <c r="C73" t="inlineStr">
        <is>
          <t>248/2016</t>
        </is>
      </c>
      <c r="D73" t="inlineStr">
        <is>
          <t>05/2017</t>
        </is>
      </c>
      <c r="E73" t="n">
        <v>38949.96</v>
      </c>
      <c r="F73" t="inlineStr">
        <is>
          <t>Emitida</t>
        </is>
      </c>
      <c r="G73" t="inlineStr">
        <is>
          <t>COMPLETA</t>
        </is>
      </c>
      <c r="H73" t="n">
        <v>2</v>
      </c>
    </row>
    <row r="74">
      <c r="A74" t="inlineStr">
        <is>
          <t>162227</t>
        </is>
      </c>
      <c r="B74" t="inlineStr">
        <is>
          <t>57236</t>
        </is>
      </c>
      <c r="C74" t="inlineStr">
        <is>
          <t>5/2021</t>
        </is>
      </c>
      <c r="D74" t="inlineStr">
        <is>
          <t>08/2025</t>
        </is>
      </c>
      <c r="E74" t="n">
        <v>35990.46</v>
      </c>
      <c r="F74" t="inlineStr">
        <is>
          <t>Emitida</t>
        </is>
      </c>
      <c r="G74" t="inlineStr">
        <is>
          <t>COMPLETA</t>
        </is>
      </c>
      <c r="H74" t="n">
        <v>144</v>
      </c>
    </row>
    <row r="75">
      <c r="A75" t="inlineStr">
        <is>
          <t>163041</t>
        </is>
      </c>
      <c r="B75" t="inlineStr">
        <is>
          <t>58036</t>
        </is>
      </c>
      <c r="C75" t="inlineStr">
        <is>
          <t>5/2021</t>
        </is>
      </c>
      <c r="D75" t="inlineStr">
        <is>
          <t>09/2025</t>
        </is>
      </c>
      <c r="E75" t="n">
        <v>35990.46</v>
      </c>
      <c r="F75" t="inlineStr">
        <is>
          <t>Emitida</t>
        </is>
      </c>
      <c r="G75" t="inlineStr">
        <is>
          <t>COMPLETA</t>
        </is>
      </c>
      <c r="H75" t="n">
        <v>144</v>
      </c>
    </row>
    <row r="76">
      <c r="A76" t="inlineStr">
        <is>
          <t>165033</t>
        </is>
      </c>
      <c r="B76" t="inlineStr">
        <is>
          <t>59931</t>
        </is>
      </c>
      <c r="C76" t="inlineStr">
        <is>
          <t>5/2021</t>
        </is>
      </c>
      <c r="D76" t="inlineStr">
        <is>
          <t>12/2025</t>
        </is>
      </c>
      <c r="E76" t="n">
        <v>35990.46</v>
      </c>
      <c r="F76" t="inlineStr">
        <is>
          <t>Emitida</t>
        </is>
      </c>
      <c r="G76" t="inlineStr">
        <is>
          <t>FORTE</t>
        </is>
      </c>
      <c r="H76" t="n">
        <v>144</v>
      </c>
    </row>
    <row r="77">
      <c r="A77" t="inlineStr">
        <is>
          <t>163048</t>
        </is>
      </c>
      <c r="B77" t="inlineStr">
        <is>
          <t>58038</t>
        </is>
      </c>
      <c r="C77" t="inlineStr">
        <is>
          <t>21/2021</t>
        </is>
      </c>
      <c r="D77" t="inlineStr">
        <is>
          <t>09/2025</t>
        </is>
      </c>
      <c r="E77" t="n">
        <v>32504.44</v>
      </c>
      <c r="F77" t="inlineStr">
        <is>
          <t>Emitida</t>
        </is>
      </c>
      <c r="G77" t="inlineStr">
        <is>
          <t>COMPLETA</t>
        </is>
      </c>
      <c r="H77" t="n">
        <v>68</v>
      </c>
    </row>
    <row r="78">
      <c r="A78" t="inlineStr">
        <is>
          <t>163917</t>
        </is>
      </c>
      <c r="B78" t="inlineStr">
        <is>
          <t>58881</t>
        </is>
      </c>
      <c r="C78" t="inlineStr">
        <is>
          <t>21/2021</t>
        </is>
      </c>
      <c r="D78" t="inlineStr">
        <is>
          <t>10/2025</t>
        </is>
      </c>
      <c r="E78" t="n">
        <v>32504.44</v>
      </c>
      <c r="F78" t="inlineStr">
        <is>
          <t>Emitida</t>
        </is>
      </c>
      <c r="G78" t="inlineStr">
        <is>
          <t>COMPLETA</t>
        </is>
      </c>
      <c r="H78" t="n">
        <v>68</v>
      </c>
    </row>
    <row r="79">
      <c r="A79" t="inlineStr">
        <is>
          <t>126768</t>
        </is>
      </c>
      <c r="B79" t="inlineStr">
        <is>
          <t>23737</t>
        </is>
      </c>
      <c r="C79" t="inlineStr">
        <is>
          <t>74/2021</t>
        </is>
      </c>
      <c r="D79" t="inlineStr">
        <is>
          <t>08/2021</t>
        </is>
      </c>
      <c r="E79" t="n">
        <v>32215.44</v>
      </c>
      <c r="F79" t="inlineStr">
        <is>
          <t>Emitida</t>
        </is>
      </c>
      <c r="G79" t="inlineStr">
        <is>
          <t>COMPLETA</t>
        </is>
      </c>
      <c r="H79" t="n">
        <v>4</v>
      </c>
    </row>
    <row r="80">
      <c r="A80" t="inlineStr">
        <is>
          <t>161932</t>
        </is>
      </c>
      <c r="B80" t="inlineStr">
        <is>
          <t>56938</t>
        </is>
      </c>
      <c r="C80" t="inlineStr">
        <is>
          <t>21/2021</t>
        </is>
      </c>
      <c r="D80" t="inlineStr">
        <is>
          <t>08/2025</t>
        </is>
      </c>
      <c r="E80" t="n">
        <v>31546.53</v>
      </c>
      <c r="F80" t="inlineStr">
        <is>
          <t>Parcialmente Paga</t>
        </is>
      </c>
      <c r="G80" t="inlineStr">
        <is>
          <t>COMPLETA</t>
        </is>
      </c>
      <c r="H80" t="n">
        <v>68</v>
      </c>
    </row>
    <row r="81">
      <c r="A81" t="inlineStr">
        <is>
          <t>163047</t>
        </is>
      </c>
      <c r="B81" t="inlineStr">
        <is>
          <t>58040</t>
        </is>
      </c>
      <c r="C81" t="inlineStr">
        <is>
          <t>21/2021</t>
        </is>
      </c>
      <c r="D81" t="inlineStr">
        <is>
          <t>09/2025</t>
        </is>
      </c>
      <c r="E81" t="n">
        <v>30166.2</v>
      </c>
      <c r="F81" t="inlineStr">
        <is>
          <t>Emitida</t>
        </is>
      </c>
      <c r="G81" t="inlineStr">
        <is>
          <t>COMPLETA</t>
        </is>
      </c>
      <c r="H81" t="n">
        <v>68</v>
      </c>
    </row>
    <row r="82">
      <c r="A82" t="inlineStr">
        <is>
          <t>163916</t>
        </is>
      </c>
      <c r="B82" t="inlineStr">
        <is>
          <t>58878</t>
        </is>
      </c>
      <c r="C82" t="inlineStr">
        <is>
          <t>21/2021</t>
        </is>
      </c>
      <c r="D82" t="inlineStr">
        <is>
          <t>10/2025</t>
        </is>
      </c>
      <c r="E82" t="n">
        <v>30166.2</v>
      </c>
      <c r="F82" t="inlineStr">
        <is>
          <t>Emitida</t>
        </is>
      </c>
      <c r="G82" t="inlineStr">
        <is>
          <t>COMPLETA</t>
        </is>
      </c>
      <c r="H82" t="n">
        <v>68</v>
      </c>
    </row>
    <row r="83">
      <c r="A83" t="inlineStr">
        <is>
          <t>163135</t>
        </is>
      </c>
      <c r="B83" t="inlineStr">
        <is>
          <t>58124</t>
        </is>
      </c>
      <c r="C83" t="inlineStr">
        <is>
          <t>18/2021</t>
        </is>
      </c>
      <c r="D83" t="inlineStr">
        <is>
          <t>09/2025</t>
        </is>
      </c>
      <c r="E83" t="n">
        <v>29478.52</v>
      </c>
      <c r="F83" t="inlineStr">
        <is>
          <t>Emitida</t>
        </is>
      </c>
      <c r="G83" t="inlineStr">
        <is>
          <t>FORTE</t>
        </is>
      </c>
      <c r="H83" t="n">
        <v>150</v>
      </c>
    </row>
    <row r="84">
      <c r="A84" t="inlineStr">
        <is>
          <t>122703</t>
        </is>
      </c>
      <c r="B84" t="inlineStr">
        <is>
          <t>122703</t>
        </is>
      </c>
      <c r="C84" t="inlineStr">
        <is>
          <t>74/2021</t>
        </is>
      </c>
      <c r="D84" t="inlineStr">
        <is>
          <t>01/2021</t>
        </is>
      </c>
      <c r="E84" t="n">
        <v>29001.42</v>
      </c>
      <c r="F84" t="inlineStr">
        <is>
          <t>Emitida</t>
        </is>
      </c>
      <c r="G84" t="inlineStr">
        <is>
          <t>FORTE</t>
        </is>
      </c>
      <c r="H84" t="n">
        <v>1</v>
      </c>
    </row>
    <row r="85">
      <c r="A85" t="inlineStr">
        <is>
          <t>98320</t>
        </is>
      </c>
      <c r="B85" t="inlineStr">
        <is>
          <t>23826</t>
        </is>
      </c>
      <c r="C85" t="inlineStr">
        <is>
          <t>2/2015</t>
        </is>
      </c>
      <c r="D85" t="inlineStr">
        <is>
          <t>06/2017</t>
        </is>
      </c>
      <c r="E85" t="n">
        <v>22858.6</v>
      </c>
      <c r="F85" t="inlineStr">
        <is>
          <t>Emitida</t>
        </is>
      </c>
      <c r="G85" t="inlineStr">
        <is>
          <t>COMPLETA</t>
        </is>
      </c>
      <c r="H85" t="n">
        <v>137</v>
      </c>
    </row>
    <row r="86">
      <c r="A86" t="inlineStr">
        <is>
          <t>98746</t>
        </is>
      </c>
      <c r="B86" t="inlineStr">
        <is>
          <t>24325</t>
        </is>
      </c>
      <c r="C86" t="inlineStr">
        <is>
          <t>2/2015</t>
        </is>
      </c>
      <c r="D86" t="inlineStr">
        <is>
          <t>07/2017</t>
        </is>
      </c>
      <c r="E86" t="n">
        <v>22858.6</v>
      </c>
      <c r="F86" t="inlineStr">
        <is>
          <t>Emitida</t>
        </is>
      </c>
      <c r="G86" t="inlineStr">
        <is>
          <t>COMPLETA</t>
        </is>
      </c>
      <c r="H86" t="n">
        <v>137</v>
      </c>
    </row>
    <row r="87">
      <c r="A87" t="inlineStr">
        <is>
          <t>99270</t>
        </is>
      </c>
      <c r="B87" t="inlineStr">
        <is>
          <t>24702</t>
        </is>
      </c>
      <c r="C87" t="inlineStr">
        <is>
          <t>2/2015</t>
        </is>
      </c>
      <c r="D87" t="inlineStr">
        <is>
          <t>08/2017</t>
        </is>
      </c>
      <c r="E87" t="n">
        <v>22858.6</v>
      </c>
      <c r="F87" t="inlineStr">
        <is>
          <t>Emitida</t>
        </is>
      </c>
      <c r="G87" t="inlineStr">
        <is>
          <t>COMPLETA</t>
        </is>
      </c>
      <c r="H87" t="n">
        <v>137</v>
      </c>
    </row>
    <row r="88">
      <c r="A88" t="inlineStr">
        <is>
          <t>99702</t>
        </is>
      </c>
      <c r="B88" t="inlineStr">
        <is>
          <t>25098</t>
        </is>
      </c>
      <c r="C88" t="inlineStr">
        <is>
          <t>2/2015</t>
        </is>
      </c>
      <c r="D88" t="inlineStr">
        <is>
          <t>09/2017</t>
        </is>
      </c>
      <c r="E88" t="n">
        <v>22858.6</v>
      </c>
      <c r="F88" t="inlineStr">
        <is>
          <t>Emitida</t>
        </is>
      </c>
      <c r="G88" t="inlineStr">
        <is>
          <t>COMPLETA</t>
        </is>
      </c>
      <c r="H88" t="n">
        <v>137</v>
      </c>
    </row>
    <row r="89">
      <c r="A89" t="inlineStr">
        <is>
          <t>100206</t>
        </is>
      </c>
      <c r="B89" t="inlineStr">
        <is>
          <t>25659</t>
        </is>
      </c>
      <c r="C89" t="inlineStr">
        <is>
          <t>2/2015</t>
        </is>
      </c>
      <c r="D89" t="inlineStr">
        <is>
          <t>10/2017</t>
        </is>
      </c>
      <c r="E89" t="n">
        <v>22858.6</v>
      </c>
      <c r="F89" t="inlineStr">
        <is>
          <t>Emitida</t>
        </is>
      </c>
      <c r="G89" t="inlineStr">
        <is>
          <t>COMPLETA</t>
        </is>
      </c>
      <c r="H89" t="n">
        <v>137</v>
      </c>
    </row>
    <row r="90">
      <c r="A90" t="inlineStr">
        <is>
          <t>100920</t>
        </is>
      </c>
      <c r="B90" t="inlineStr">
        <is>
          <t>26167</t>
        </is>
      </c>
      <c r="C90" t="inlineStr">
        <is>
          <t>2/2015</t>
        </is>
      </c>
      <c r="D90" t="inlineStr">
        <is>
          <t>12/2017</t>
        </is>
      </c>
      <c r="E90" t="n">
        <v>22858.6</v>
      </c>
      <c r="F90" t="inlineStr">
        <is>
          <t>Emitida</t>
        </is>
      </c>
      <c r="G90" t="inlineStr">
        <is>
          <t>COMPLETA</t>
        </is>
      </c>
      <c r="H90" t="n">
        <v>137</v>
      </c>
    </row>
    <row r="91">
      <c r="A91" t="inlineStr">
        <is>
          <t>97373</t>
        </is>
      </c>
      <c r="B91" t="inlineStr">
        <is>
          <t>22950</t>
        </is>
      </c>
      <c r="C91" t="inlineStr">
        <is>
          <t>125/2016</t>
        </is>
      </c>
      <c r="D91" t="inlineStr">
        <is>
          <t>04/2017</t>
        </is>
      </c>
      <c r="E91" t="n">
        <v>22699.51</v>
      </c>
      <c r="F91" t="inlineStr">
        <is>
          <t>Emitida</t>
        </is>
      </c>
      <c r="G91" t="inlineStr">
        <is>
          <t>COMPLETA</t>
        </is>
      </c>
      <c r="H91" t="n">
        <v>2</v>
      </c>
    </row>
    <row r="92">
      <c r="A92" t="inlineStr">
        <is>
          <t>90648</t>
        </is>
      </c>
      <c r="B92" t="inlineStr">
        <is>
          <t>16676</t>
        </is>
      </c>
      <c r="C92" t="inlineStr">
        <is>
          <t>2/2015</t>
        </is>
      </c>
      <c r="D92" t="inlineStr">
        <is>
          <t>11/2015</t>
        </is>
      </c>
      <c r="E92" t="n">
        <v>21011.68</v>
      </c>
      <c r="F92" t="inlineStr">
        <is>
          <t>Emitida</t>
        </is>
      </c>
      <c r="G92" t="inlineStr">
        <is>
          <t>COMPLETA</t>
        </is>
      </c>
      <c r="H92" t="n">
        <v>137</v>
      </c>
    </row>
    <row r="93">
      <c r="A93" t="inlineStr">
        <is>
          <t>91127</t>
        </is>
      </c>
      <c r="B93" t="inlineStr">
        <is>
          <t>17101</t>
        </is>
      </c>
      <c r="C93" t="inlineStr">
        <is>
          <t>2/2015</t>
        </is>
      </c>
      <c r="D93" t="inlineStr">
        <is>
          <t>12/2015</t>
        </is>
      </c>
      <c r="E93" t="n">
        <v>21011.68</v>
      </c>
      <c r="F93" t="inlineStr">
        <is>
          <t>Emitida</t>
        </is>
      </c>
      <c r="G93" t="inlineStr">
        <is>
          <t>COMPLETA</t>
        </is>
      </c>
      <c r="H93" t="n">
        <v>137</v>
      </c>
    </row>
    <row r="94">
      <c r="A94" t="inlineStr">
        <is>
          <t>161475</t>
        </is>
      </c>
      <c r="B94" t="inlineStr">
        <is>
          <t>56529</t>
        </is>
      </c>
      <c r="C94" t="inlineStr">
        <is>
          <t>18/2021</t>
        </is>
      </c>
      <c r="D94" t="inlineStr">
        <is>
          <t>07/2025</t>
        </is>
      </c>
      <c r="E94" t="n">
        <v>20888.4</v>
      </c>
      <c r="F94" t="inlineStr">
        <is>
          <t>Emitida</t>
        </is>
      </c>
      <c r="G94" t="inlineStr">
        <is>
          <t>COMPLETA</t>
        </is>
      </c>
      <c r="H94" t="n">
        <v>150</v>
      </c>
    </row>
    <row r="95">
      <c r="A95" t="inlineStr">
        <is>
          <t>163044</t>
        </is>
      </c>
      <c r="B95" t="inlineStr">
        <is>
          <t>58125</t>
        </is>
      </c>
      <c r="C95" t="inlineStr">
        <is>
          <t>18/2021</t>
        </is>
      </c>
      <c r="D95" t="inlineStr">
        <is>
          <t>09/2025</t>
        </is>
      </c>
      <c r="E95" t="n">
        <v>20888.4</v>
      </c>
      <c r="F95" t="inlineStr">
        <is>
          <t>Emitida</t>
        </is>
      </c>
      <c r="G95" t="inlineStr">
        <is>
          <t>COMPLETA</t>
        </is>
      </c>
      <c r="H95" t="n">
        <v>150</v>
      </c>
    </row>
    <row r="96">
      <c r="A96" t="inlineStr">
        <is>
          <t>160784</t>
        </is>
      </c>
      <c r="B96" t="inlineStr">
        <is>
          <t>55845</t>
        </is>
      </c>
      <c r="C96" t="inlineStr">
        <is>
          <t>18/2021</t>
        </is>
      </c>
      <c r="D96" t="inlineStr">
        <is>
          <t>06/2025</t>
        </is>
      </c>
      <c r="E96" t="n">
        <v>14061.84</v>
      </c>
      <c r="F96" t="inlineStr">
        <is>
          <t>Emitida</t>
        </is>
      </c>
      <c r="G96" t="inlineStr">
        <is>
          <t>COMPLETA</t>
        </is>
      </c>
      <c r="H96" t="n">
        <v>150</v>
      </c>
    </row>
    <row r="97">
      <c r="A97" t="inlineStr">
        <is>
          <t>160781</t>
        </is>
      </c>
      <c r="B97" t="inlineStr">
        <is>
          <t>55843</t>
        </is>
      </c>
      <c r="C97" t="inlineStr">
        <is>
          <t>18/2021</t>
        </is>
      </c>
      <c r="D97" t="inlineStr">
        <is>
          <t>06/2025</t>
        </is>
      </c>
      <c r="E97" t="n">
        <v>11836.76</v>
      </c>
      <c r="F97" t="inlineStr">
        <is>
          <t>Parcialmente Paga</t>
        </is>
      </c>
      <c r="G97" t="inlineStr">
        <is>
          <t>COMPLETA</t>
        </is>
      </c>
      <c r="H97" t="n">
        <v>150</v>
      </c>
    </row>
    <row r="98">
      <c r="A98" t="inlineStr">
        <is>
          <t>161474</t>
        </is>
      </c>
      <c r="B98" t="inlineStr">
        <is>
          <t>56528</t>
        </is>
      </c>
      <c r="C98" t="inlineStr">
        <is>
          <t>18/2021</t>
        </is>
      </c>
      <c r="D98" t="inlineStr">
        <is>
          <t>07/2025</t>
        </is>
      </c>
      <c r="E98" t="n">
        <v>11207.02</v>
      </c>
      <c r="F98" t="inlineStr">
        <is>
          <t>Emitida</t>
        </is>
      </c>
      <c r="G98" t="inlineStr">
        <is>
          <t>COMPLETA</t>
        </is>
      </c>
      <c r="H98" t="n">
        <v>150</v>
      </c>
    </row>
    <row r="99">
      <c r="A99" t="inlineStr">
        <is>
          <t>163043</t>
        </is>
      </c>
      <c r="B99" t="inlineStr">
        <is>
          <t>58127</t>
        </is>
      </c>
      <c r="C99" t="inlineStr">
        <is>
          <t>18/2021</t>
        </is>
      </c>
      <c r="D99" t="inlineStr">
        <is>
          <t>09/2025</t>
        </is>
      </c>
      <c r="E99" t="n">
        <v>11207.02</v>
      </c>
      <c r="F99" t="inlineStr">
        <is>
          <t>Emitida</t>
        </is>
      </c>
      <c r="G99" t="inlineStr">
        <is>
          <t>COMPLETA</t>
        </is>
      </c>
      <c r="H99" t="n">
        <v>150</v>
      </c>
    </row>
    <row r="100">
      <c r="A100" t="inlineStr">
        <is>
          <t>161931</t>
        </is>
      </c>
      <c r="B100" t="inlineStr">
        <is>
          <t>56941</t>
        </is>
      </c>
      <c r="C100" t="inlineStr">
        <is>
          <t>21/2021</t>
        </is>
      </c>
      <c r="D100" t="inlineStr">
        <is>
          <t>08/2025</t>
        </is>
      </c>
      <c r="E100" t="n">
        <v>10984.61</v>
      </c>
      <c r="F100" t="inlineStr">
        <is>
          <t>Emitida</t>
        </is>
      </c>
      <c r="G100" t="inlineStr">
        <is>
          <t>COMPLETA</t>
        </is>
      </c>
      <c r="H100" t="n">
        <v>68</v>
      </c>
    </row>
    <row r="101">
      <c r="A101" t="inlineStr">
        <is>
          <t>160660</t>
        </is>
      </c>
      <c r="B101" t="inlineStr">
        <is>
          <t>55741</t>
        </is>
      </c>
      <c r="C101" t="inlineStr">
        <is>
          <t>18/2021</t>
        </is>
      </c>
      <c r="D101" t="inlineStr">
        <is>
          <t>06/2025</t>
        </is>
      </c>
      <c r="E101" t="n">
        <v>10838.74</v>
      </c>
      <c r="F101" t="inlineStr">
        <is>
          <t>Emitida</t>
        </is>
      </c>
      <c r="G101" t="inlineStr">
        <is>
          <t>COMPLETA</t>
        </is>
      </c>
      <c r="H101" t="n">
        <v>150</v>
      </c>
    </row>
    <row r="102">
      <c r="A102" t="inlineStr">
        <is>
          <t>161934</t>
        </is>
      </c>
      <c r="B102" t="inlineStr">
        <is>
          <t>56940</t>
        </is>
      </c>
      <c r="C102" t="inlineStr">
        <is>
          <t>21/2021</t>
        </is>
      </c>
      <c r="D102" t="inlineStr">
        <is>
          <t>08/2025</t>
        </is>
      </c>
      <c r="E102" t="n">
        <v>10194.4</v>
      </c>
      <c r="F102" t="inlineStr">
        <is>
          <t>Emitida</t>
        </is>
      </c>
      <c r="G102" t="inlineStr">
        <is>
          <t>COMPLETA</t>
        </is>
      </c>
      <c r="H102" t="n">
        <v>68</v>
      </c>
    </row>
    <row r="103">
      <c r="A103" t="inlineStr">
        <is>
          <t>163134</t>
        </is>
      </c>
      <c r="B103" t="inlineStr">
        <is>
          <t>58123</t>
        </is>
      </c>
      <c r="C103" t="inlineStr">
        <is>
          <t>18/2021</t>
        </is>
      </c>
      <c r="D103" t="inlineStr">
        <is>
          <t>09/2025</t>
        </is>
      </c>
      <c r="E103" t="n">
        <v>9381.68</v>
      </c>
      <c r="F103" t="inlineStr">
        <is>
          <t>Emitida</t>
        </is>
      </c>
      <c r="G103" t="inlineStr">
        <is>
          <t>COMPLETA</t>
        </is>
      </c>
      <c r="H103" t="n">
        <v>150</v>
      </c>
    </row>
    <row r="104">
      <c r="A104" t="inlineStr">
        <is>
          <t>160614</t>
        </is>
      </c>
      <c r="B104" t="inlineStr">
        <is>
          <t>55739</t>
        </is>
      </c>
      <c r="C104" t="inlineStr">
        <is>
          <t>18/2021</t>
        </is>
      </c>
      <c r="D104" t="inlineStr">
        <is>
          <t>06/2025</t>
        </is>
      </c>
      <c r="E104" t="n">
        <v>9051.639999999999</v>
      </c>
      <c r="F104" t="inlineStr">
        <is>
          <t>Emitida</t>
        </is>
      </c>
      <c r="G104" t="inlineStr">
        <is>
          <t>COMPLETA</t>
        </is>
      </c>
      <c r="H104" t="n">
        <v>150</v>
      </c>
    </row>
    <row r="105">
      <c r="A105" t="inlineStr">
        <is>
          <t>160780</t>
        </is>
      </c>
      <c r="B105" t="inlineStr">
        <is>
          <t>55841</t>
        </is>
      </c>
      <c r="C105" t="inlineStr">
        <is>
          <t>18/2021</t>
        </is>
      </c>
      <c r="D105" t="inlineStr">
        <is>
          <t>06/2025</t>
        </is>
      </c>
      <c r="E105" t="n">
        <v>6350.64</v>
      </c>
      <c r="F105" t="inlineStr">
        <is>
          <t>Emitida</t>
        </is>
      </c>
      <c r="G105" t="inlineStr">
        <is>
          <t>COMPLETA</t>
        </is>
      </c>
      <c r="H105" t="n">
        <v>150</v>
      </c>
    </row>
    <row r="106">
      <c r="A106" t="inlineStr">
        <is>
          <t>160783</t>
        </is>
      </c>
      <c r="B106" t="inlineStr">
        <is>
          <t>55840</t>
        </is>
      </c>
      <c r="C106" t="inlineStr">
        <is>
          <t>18/2021</t>
        </is>
      </c>
      <c r="D106" t="inlineStr">
        <is>
          <t>06/2025</t>
        </is>
      </c>
      <c r="E106" t="n">
        <v>5316.29</v>
      </c>
      <c r="F106" t="inlineStr">
        <is>
          <t>Emitida</t>
        </is>
      </c>
      <c r="G106" t="inlineStr">
        <is>
          <t>COMPLETA</t>
        </is>
      </c>
      <c r="H106" t="n">
        <v>150</v>
      </c>
    </row>
    <row r="107">
      <c r="A107" t="inlineStr">
        <is>
          <t>160615</t>
        </is>
      </c>
      <c r="B107" t="inlineStr">
        <is>
          <t>55740</t>
        </is>
      </c>
      <c r="C107" t="inlineStr">
        <is>
          <t>18/2021</t>
        </is>
      </c>
      <c r="D107" t="inlineStr">
        <is>
          <t>06/2025</t>
        </is>
      </c>
      <c r="E107" t="n">
        <v>4856.38</v>
      </c>
      <c r="F107" t="inlineStr">
        <is>
          <t>Emitida</t>
        </is>
      </c>
      <c r="G107" t="inlineStr">
        <is>
          <t>COMPLETA</t>
        </is>
      </c>
      <c r="H107" t="n">
        <v>150</v>
      </c>
    </row>
    <row r="108">
      <c r="A108" t="inlineStr">
        <is>
          <t>160659</t>
        </is>
      </c>
      <c r="B108" t="inlineStr">
        <is>
          <t>55736</t>
        </is>
      </c>
      <c r="C108" t="inlineStr">
        <is>
          <t>18/2021</t>
        </is>
      </c>
      <c r="D108" t="inlineStr">
        <is>
          <t>06/2025</t>
        </is>
      </c>
      <c r="E108" t="n">
        <v>4264.4</v>
      </c>
      <c r="F108" t="inlineStr">
        <is>
          <t>Emitida</t>
        </is>
      </c>
      <c r="G108" t="inlineStr">
        <is>
          <t>COMPLETA</t>
        </is>
      </c>
      <c r="H108" t="n">
        <v>150</v>
      </c>
    </row>
    <row r="109">
      <c r="A109" t="inlineStr">
        <is>
          <t>165763</t>
        </is>
      </c>
      <c r="B109" t="inlineStr">
        <is>
          <t>190</t>
        </is>
      </c>
      <c r="C109" t="inlineStr">
        <is>
          <t>1/2023</t>
        </is>
      </c>
      <c r="D109" t="inlineStr">
        <is>
          <t>01/2026</t>
        </is>
      </c>
      <c r="E109" t="n">
        <v>215.15</v>
      </c>
      <c r="F109" t="inlineStr">
        <is>
          <t>Emitida</t>
        </is>
      </c>
      <c r="G109" t="inlineStr">
        <is>
          <t>FORTE</t>
        </is>
      </c>
      <c r="H109" t="n">
        <v>200</v>
      </c>
    </row>
    <row r="110">
      <c r="A110" t="inlineStr">
        <is>
          <t>162228</t>
        </is>
      </c>
      <c r="B110" t="inlineStr">
        <is>
          <t>57235</t>
        </is>
      </c>
      <c r="C110" t="inlineStr">
        <is>
          <t>5/2021</t>
        </is>
      </c>
      <c r="D110" t="inlineStr">
        <is>
          <t>08/2025</t>
        </is>
      </c>
      <c r="E110" t="n">
        <v>121.96</v>
      </c>
      <c r="F110" t="inlineStr">
        <is>
          <t>Emitida</t>
        </is>
      </c>
      <c r="G110" t="inlineStr">
        <is>
          <t>COMPLETA</t>
        </is>
      </c>
      <c r="H110" t="n">
        <v>144</v>
      </c>
    </row>
    <row r="111">
      <c r="A111" t="inlineStr">
        <is>
          <t>163042</t>
        </is>
      </c>
      <c r="B111" t="inlineStr">
        <is>
          <t>58037</t>
        </is>
      </c>
      <c r="C111" t="inlineStr">
        <is>
          <t>5/2021</t>
        </is>
      </c>
      <c r="D111" t="inlineStr">
        <is>
          <t>09/2025</t>
        </is>
      </c>
      <c r="E111" t="n">
        <v>121.96</v>
      </c>
      <c r="F111" t="inlineStr">
        <is>
          <t>Emitida</t>
        </is>
      </c>
      <c r="G111" t="inlineStr">
        <is>
          <t>COMPLETA</t>
        </is>
      </c>
      <c r="H111" t="n">
        <v>144</v>
      </c>
    </row>
    <row r="112">
      <c r="A112" t="inlineStr">
        <is>
          <t>165034</t>
        </is>
      </c>
      <c r="B112" t="inlineStr">
        <is>
          <t>59930</t>
        </is>
      </c>
      <c r="C112" t="inlineStr">
        <is>
          <t>5/2021</t>
        </is>
      </c>
      <c r="D112" t="inlineStr">
        <is>
          <t>12/2025</t>
        </is>
      </c>
      <c r="E112" t="n">
        <v>121.96</v>
      </c>
      <c r="F112" t="inlineStr">
        <is>
          <t>Emitida</t>
        </is>
      </c>
      <c r="G112" t="inlineStr">
        <is>
          <t>FORTE</t>
        </is>
      </c>
      <c r="H112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MEGA DESPACHANTE E ASSESSORIA EMPRESARIA</t>
        </is>
      </c>
      <c r="B2" t="inlineStr">
        <is>
          <t>Software como Serviço</t>
        </is>
      </c>
      <c r="C2" t="inlineStr">
        <is>
          <t>001/2023</t>
        </is>
      </c>
      <c r="D2" t="inlineStr">
        <is>
          <t>165763</t>
        </is>
      </c>
      <c r="E2" t="inlineStr">
        <is>
          <t>01/2026</t>
        </is>
      </c>
      <c r="F2" t="inlineStr">
        <is>
          <t>215,15</t>
        </is>
      </c>
      <c r="G2" t="inlineStr">
        <is>
          <t>55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SES</t>
        </is>
      </c>
      <c r="B3" t="inlineStr">
        <is>
          <t>Execução de sistemas</t>
        </is>
      </c>
      <c r="C3" t="inlineStr">
        <is>
          <t>081/2010</t>
        </is>
      </c>
      <c r="D3" t="inlineStr">
        <is>
          <t>88373</t>
        </is>
      </c>
      <c r="E3" t="inlineStr">
        <is>
          <t>05/2015</t>
        </is>
      </c>
      <c r="F3" t="inlineStr">
        <is>
          <t>104.884,80</t>
        </is>
      </c>
      <c r="G3" t="inlineStr">
        <is>
          <t>3936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SES</t>
        </is>
      </c>
      <c r="B4" t="inlineStr">
        <is>
          <t>Execução de sistemas</t>
        </is>
      </c>
      <c r="C4" t="inlineStr">
        <is>
          <t>081/2010</t>
        </is>
      </c>
      <c r="D4" t="inlineStr">
        <is>
          <t>88593</t>
        </is>
      </c>
      <c r="E4" t="inlineStr">
        <is>
          <t>06/2015</t>
        </is>
      </c>
      <c r="F4" t="inlineStr">
        <is>
          <t>104.884,80</t>
        </is>
      </c>
      <c r="G4" t="inlineStr">
        <is>
          <t>3913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SES</t>
        </is>
      </c>
      <c r="B5" t="inlineStr">
        <is>
          <t>Desenvolvimento de Sistemas de Informação</t>
        </is>
      </c>
      <c r="C5" t="inlineStr">
        <is>
          <t>116/2013</t>
        </is>
      </c>
      <c r="D5" t="inlineStr">
        <is>
          <t>89871</t>
        </is>
      </c>
      <c r="E5" t="inlineStr">
        <is>
          <t>09/2015</t>
        </is>
      </c>
      <c r="F5" t="inlineStr">
        <is>
          <t>56.764,21</t>
        </is>
      </c>
      <c r="G5" t="inlineStr">
        <is>
          <t>3818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SES</t>
        </is>
      </c>
      <c r="B6" t="inlineStr">
        <is>
          <t>Execução de sistemas</t>
        </is>
      </c>
      <c r="C6" t="inlineStr">
        <is>
          <t>081/2010</t>
        </is>
      </c>
      <c r="D6" t="inlineStr">
        <is>
          <t>89900</t>
        </is>
      </c>
      <c r="E6" t="inlineStr">
        <is>
          <t>09/2015</t>
        </is>
      </c>
      <c r="F6" t="inlineStr">
        <is>
          <t>104.884,80</t>
        </is>
      </c>
      <c r="G6" t="inlineStr">
        <is>
          <t>3817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SES</t>
        </is>
      </c>
      <c r="B7" t="inlineStr">
        <is>
          <t>Desenvolvimento de Sistemas de Informação</t>
        </is>
      </c>
      <c r="C7" t="inlineStr">
        <is>
          <t>116/2013</t>
        </is>
      </c>
      <c r="D7" t="inlineStr">
        <is>
          <t>90291</t>
        </is>
      </c>
      <c r="E7" t="inlineStr">
        <is>
          <t>10/2015</t>
        </is>
      </c>
      <c r="F7" t="inlineStr">
        <is>
          <t>56.764,21</t>
        </is>
      </c>
      <c r="G7" t="inlineStr">
        <is>
          <t>3789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SES</t>
        </is>
      </c>
      <c r="B8" t="inlineStr">
        <is>
          <t>Execução de sistemas</t>
        </is>
      </c>
      <c r="C8" t="inlineStr">
        <is>
          <t>081/2010</t>
        </is>
      </c>
      <c r="D8" t="inlineStr">
        <is>
          <t>90389</t>
        </is>
      </c>
      <c r="E8" t="inlineStr">
        <is>
          <t>10/2015</t>
        </is>
      </c>
      <c r="F8" t="inlineStr">
        <is>
          <t>104.884,80</t>
        </is>
      </c>
      <c r="G8" t="inlineStr">
        <is>
          <t>3787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SES</t>
        </is>
      </c>
      <c r="B9" t="inlineStr">
        <is>
          <t>Serviços de Firewall</t>
        </is>
      </c>
      <c r="C9" t="inlineStr">
        <is>
          <t>002/2015</t>
        </is>
      </c>
      <c r="D9" t="inlineStr">
        <is>
          <t>90648</t>
        </is>
      </c>
      <c r="E9" t="inlineStr">
        <is>
          <t>11/2015</t>
        </is>
      </c>
      <c r="F9" t="inlineStr">
        <is>
          <t>21.011,68</t>
        </is>
      </c>
      <c r="G9" t="inlineStr">
        <is>
          <t>3760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SES</t>
        </is>
      </c>
      <c r="B10" t="inlineStr">
        <is>
          <t>Consultoria em informática</t>
        </is>
      </c>
      <c r="C10" t="inlineStr">
        <is>
          <t>116/2013</t>
        </is>
      </c>
      <c r="D10" t="inlineStr">
        <is>
          <t>90644</t>
        </is>
      </c>
      <c r="E10" t="inlineStr">
        <is>
          <t>11/2015</t>
        </is>
      </c>
      <c r="F10" t="inlineStr">
        <is>
          <t>38.949,96</t>
        </is>
      </c>
      <c r="G10" t="inlineStr">
        <is>
          <t>3760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SES</t>
        </is>
      </c>
      <c r="B11" t="inlineStr">
        <is>
          <t>Desenvolvimento de Sistemas de Informação</t>
        </is>
      </c>
      <c r="C11" t="inlineStr">
        <is>
          <t>116/2013</t>
        </is>
      </c>
      <c r="D11" t="inlineStr">
        <is>
          <t>90643</t>
        </is>
      </c>
      <c r="E11" t="inlineStr">
        <is>
          <t>11/2015</t>
        </is>
      </c>
      <c r="F11" t="inlineStr">
        <is>
          <t>56.764,21</t>
        </is>
      </c>
      <c r="G11" t="inlineStr">
        <is>
          <t>3760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SES</t>
        </is>
      </c>
      <c r="B12" t="inlineStr">
        <is>
          <t>Consultoria em informática</t>
        </is>
      </c>
      <c r="C12" t="inlineStr">
        <is>
          <t>116/2013</t>
        </is>
      </c>
      <c r="D12" t="inlineStr">
        <is>
          <t>91122</t>
        </is>
      </c>
      <c r="E12" t="inlineStr">
        <is>
          <t>12/2015</t>
        </is>
      </c>
      <c r="F12" t="inlineStr">
        <is>
          <t>38.949,96</t>
        </is>
      </c>
      <c r="G12" t="inlineStr">
        <is>
          <t>3727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SES</t>
        </is>
      </c>
      <c r="B13" t="inlineStr">
        <is>
          <t>Serviços de Firewall</t>
        </is>
      </c>
      <c r="C13" t="inlineStr">
        <is>
          <t>002/2015</t>
        </is>
      </c>
      <c r="D13" t="inlineStr">
        <is>
          <t>91127</t>
        </is>
      </c>
      <c r="E13" t="inlineStr">
        <is>
          <t>12/2015</t>
        </is>
      </c>
      <c r="F13" t="inlineStr">
        <is>
          <t>21.011,68</t>
        </is>
      </c>
      <c r="G13" t="inlineStr">
        <is>
          <t>3727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SES</t>
        </is>
      </c>
      <c r="B14" t="inlineStr">
        <is>
          <t>Desenvolvimento de Sistemas de Informação</t>
        </is>
      </c>
      <c r="C14" t="inlineStr">
        <is>
          <t>024/2016</t>
        </is>
      </c>
      <c r="D14" t="inlineStr">
        <is>
          <t>93732</t>
        </is>
      </c>
      <c r="E14" t="inlineStr">
        <is>
          <t>07/2016</t>
        </is>
      </c>
      <c r="F14" t="inlineStr">
        <is>
          <t>238.723,03</t>
        </is>
      </c>
      <c r="G14" t="inlineStr">
        <is>
          <t>3513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SES</t>
        </is>
      </c>
      <c r="B15" t="inlineStr">
        <is>
          <t>Implantação de Sistemas de Informação</t>
        </is>
      </c>
      <c r="C15" t="inlineStr">
        <is>
          <t>024/2016</t>
        </is>
      </c>
      <c r="D15" t="inlineStr">
        <is>
          <t>93733</t>
        </is>
      </c>
      <c r="E15" t="inlineStr">
        <is>
          <t>07/2016</t>
        </is>
      </c>
      <c r="F15" t="inlineStr">
        <is>
          <t>57.575,19</t>
        </is>
      </c>
      <c r="G15" t="inlineStr">
        <is>
          <t>3513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SES</t>
        </is>
      </c>
      <c r="B16" t="inlineStr">
        <is>
          <t>Desenvolvimento de Sistemas de Informação</t>
        </is>
      </c>
      <c r="C16" t="inlineStr">
        <is>
          <t>116/2013</t>
        </is>
      </c>
      <c r="D16" t="inlineStr">
        <is>
          <t>94457</t>
        </is>
      </c>
      <c r="E16" t="inlineStr">
        <is>
          <t>09/2016</t>
        </is>
      </c>
      <c r="F16" t="inlineStr">
        <is>
          <t>56.764,21</t>
        </is>
      </c>
      <c r="G16" t="inlineStr">
        <is>
          <t>3450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SES</t>
        </is>
      </c>
      <c r="B17" t="inlineStr">
        <is>
          <t>Desenvolvimento de Sistemas de Informação</t>
        </is>
      </c>
      <c r="C17" t="inlineStr">
        <is>
          <t>116/2013</t>
        </is>
      </c>
      <c r="D17" t="inlineStr">
        <is>
          <t>94453</t>
        </is>
      </c>
      <c r="E17" t="inlineStr">
        <is>
          <t>08/2016</t>
        </is>
      </c>
      <c r="F17" t="inlineStr">
        <is>
          <t>56.764,21</t>
        </is>
      </c>
      <c r="G17" t="inlineStr">
        <is>
          <t>3450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SES</t>
        </is>
      </c>
      <c r="B18" t="inlineStr">
        <is>
          <t>Hospedagem de Sistemas</t>
        </is>
      </c>
      <c r="C18" t="inlineStr">
        <is>
          <t>116/2013</t>
        </is>
      </c>
      <c r="D18" t="inlineStr">
        <is>
          <t>94455</t>
        </is>
      </c>
      <c r="E18" t="inlineStr">
        <is>
          <t>08/2016</t>
        </is>
      </c>
      <c r="F18" t="inlineStr">
        <is>
          <t>58.301,61</t>
        </is>
      </c>
      <c r="G18" t="inlineStr">
        <is>
          <t>3450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SES</t>
        </is>
      </c>
      <c r="B19" t="inlineStr">
        <is>
          <t>Hospedagem de Sistemas</t>
        </is>
      </c>
      <c r="C19" t="inlineStr">
        <is>
          <t>116/2013</t>
        </is>
      </c>
      <c r="D19" t="inlineStr">
        <is>
          <t>94459</t>
        </is>
      </c>
      <c r="E19" t="inlineStr">
        <is>
          <t>09/2016</t>
        </is>
      </c>
      <c r="F19" t="inlineStr">
        <is>
          <t>58.301,61</t>
        </is>
      </c>
      <c r="G19" t="inlineStr">
        <is>
          <t>3450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SES</t>
        </is>
      </c>
      <c r="B20" t="inlineStr">
        <is>
          <t>Consultoria em informática</t>
        </is>
      </c>
      <c r="C20" t="inlineStr">
        <is>
          <t>116/2013</t>
        </is>
      </c>
      <c r="D20" t="inlineStr">
        <is>
          <t>94458</t>
        </is>
      </c>
      <c r="E20" t="inlineStr">
        <is>
          <t>09/2016</t>
        </is>
      </c>
      <c r="F20" t="inlineStr">
        <is>
          <t>38.949,96</t>
        </is>
      </c>
      <c r="G20" t="inlineStr">
        <is>
          <t>3450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SES</t>
        </is>
      </c>
      <c r="B21" t="inlineStr">
        <is>
          <t>Consultoria em informática</t>
        </is>
      </c>
      <c r="C21" t="inlineStr">
        <is>
          <t>116/2013</t>
        </is>
      </c>
      <c r="D21" t="inlineStr">
        <is>
          <t>94454</t>
        </is>
      </c>
      <c r="E21" t="inlineStr">
        <is>
          <t>08/2016</t>
        </is>
      </c>
      <c r="F21" t="inlineStr">
        <is>
          <t>38.949,96</t>
        </is>
      </c>
      <c r="G21" t="inlineStr">
        <is>
          <t>3450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SES</t>
        </is>
      </c>
      <c r="B22" t="inlineStr">
        <is>
          <t>Consultoria em informática</t>
        </is>
      </c>
      <c r="C22" t="inlineStr">
        <is>
          <t>116/2013</t>
        </is>
      </c>
      <c r="D22" t="inlineStr">
        <is>
          <t>94827</t>
        </is>
      </c>
      <c r="E22" t="inlineStr">
        <is>
          <t>10/2016</t>
        </is>
      </c>
      <c r="F22" t="inlineStr">
        <is>
          <t>38.949,96</t>
        </is>
      </c>
      <c r="G22" t="inlineStr">
        <is>
          <t>3419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SES</t>
        </is>
      </c>
      <c r="B23" t="inlineStr">
        <is>
          <t>Desenvolvimento de Sistemas de Informação</t>
        </is>
      </c>
      <c r="C23" t="inlineStr">
        <is>
          <t>116/2013</t>
        </is>
      </c>
      <c r="D23" t="inlineStr">
        <is>
          <t>94826</t>
        </is>
      </c>
      <c r="E23" t="inlineStr">
        <is>
          <t>10/2016</t>
        </is>
      </c>
      <c r="F23" t="inlineStr">
        <is>
          <t>56.764,21</t>
        </is>
      </c>
      <c r="G23" t="inlineStr">
        <is>
          <t>3419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SES</t>
        </is>
      </c>
      <c r="B24" t="inlineStr">
        <is>
          <t>Hospedagem de Sistemas</t>
        </is>
      </c>
      <c r="C24" t="inlineStr">
        <is>
          <t>116/2013</t>
        </is>
      </c>
      <c r="D24" t="inlineStr">
        <is>
          <t>94828</t>
        </is>
      </c>
      <c r="E24" t="inlineStr">
        <is>
          <t>10/2016</t>
        </is>
      </c>
      <c r="F24" t="inlineStr">
        <is>
          <t>58.301,61</t>
        </is>
      </c>
      <c r="G24" t="inlineStr">
        <is>
          <t>3419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SES</t>
        </is>
      </c>
      <c r="B25" t="inlineStr">
        <is>
          <t>Consultoria em informática</t>
        </is>
      </c>
      <c r="C25" t="inlineStr">
        <is>
          <t>248/2016</t>
        </is>
      </c>
      <c r="D25" t="inlineStr">
        <is>
          <t>95771</t>
        </is>
      </c>
      <c r="E25" t="inlineStr">
        <is>
          <t>12/2016</t>
        </is>
      </c>
      <c r="F25" t="inlineStr">
        <is>
          <t>38.949,96</t>
        </is>
      </c>
      <c r="G25" t="inlineStr">
        <is>
          <t>3360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SES</t>
        </is>
      </c>
      <c r="B26" t="inlineStr">
        <is>
          <t>Consultoria em informática</t>
        </is>
      </c>
      <c r="C26" t="inlineStr">
        <is>
          <t>248/2016</t>
        </is>
      </c>
      <c r="D26" t="inlineStr">
        <is>
          <t>95773</t>
        </is>
      </c>
      <c r="E26" t="inlineStr">
        <is>
          <t>11/2016</t>
        </is>
      </c>
      <c r="F26" t="inlineStr">
        <is>
          <t>38.949,96</t>
        </is>
      </c>
      <c r="G26" t="inlineStr">
        <is>
          <t>3360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SES</t>
        </is>
      </c>
      <c r="B27" t="inlineStr">
        <is>
          <t>Hospedagem de Sistemas</t>
        </is>
      </c>
      <c r="C27" t="inlineStr">
        <is>
          <t>248/2016</t>
        </is>
      </c>
      <c r="D27" t="inlineStr">
        <is>
          <t>95775</t>
        </is>
      </c>
      <c r="E27" t="inlineStr">
        <is>
          <t>11/2016</t>
        </is>
      </c>
      <c r="F27" t="inlineStr">
        <is>
          <t>58.301,64</t>
        </is>
      </c>
      <c r="G27" t="inlineStr">
        <is>
          <t>3360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SES</t>
        </is>
      </c>
      <c r="B28" t="inlineStr">
        <is>
          <t>Hospedagem de Sistemas</t>
        </is>
      </c>
      <c r="C28" t="inlineStr">
        <is>
          <t>248/2016</t>
        </is>
      </c>
      <c r="D28" t="inlineStr">
        <is>
          <t>95789</t>
        </is>
      </c>
      <c r="E28" t="inlineStr">
        <is>
          <t>12/2016</t>
        </is>
      </c>
      <c r="F28" t="inlineStr">
        <is>
          <t>58.301,64</t>
        </is>
      </c>
      <c r="G28" t="inlineStr">
        <is>
          <t>3360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SES</t>
        </is>
      </c>
      <c r="B29" t="inlineStr">
        <is>
          <t>Hospedagem de Sistemas</t>
        </is>
      </c>
      <c r="C29" t="inlineStr">
        <is>
          <t>248/2016</t>
        </is>
      </c>
      <c r="D29" t="inlineStr">
        <is>
          <t>96479</t>
        </is>
      </c>
      <c r="E29" t="inlineStr">
        <is>
          <t>02/2017</t>
        </is>
      </c>
      <c r="F29" t="inlineStr">
        <is>
          <t>58.301,64</t>
        </is>
      </c>
      <c r="G29" t="inlineStr">
        <is>
          <t>3305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SES</t>
        </is>
      </c>
      <c r="B30" t="inlineStr">
        <is>
          <t>Manutenção Evolutiva de Sistemas</t>
        </is>
      </c>
      <c r="C30" t="inlineStr">
        <is>
          <t>248/2016</t>
        </is>
      </c>
      <c r="D30" t="inlineStr">
        <is>
          <t>96478</t>
        </is>
      </c>
      <c r="E30" t="inlineStr">
        <is>
          <t>02/2017</t>
        </is>
      </c>
      <c r="F30" t="inlineStr">
        <is>
          <t>56.764,21</t>
        </is>
      </c>
      <c r="G30" t="inlineStr">
        <is>
          <t>3305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SES</t>
        </is>
      </c>
      <c r="B31" t="inlineStr">
        <is>
          <t>Consultoria em informática</t>
        </is>
      </c>
      <c r="C31" t="inlineStr">
        <is>
          <t>248/2016</t>
        </is>
      </c>
      <c r="D31" t="inlineStr">
        <is>
          <t>96480</t>
        </is>
      </c>
      <c r="E31" t="inlineStr">
        <is>
          <t>02/2017</t>
        </is>
      </c>
      <c r="F31" t="inlineStr">
        <is>
          <t>38.949,96</t>
        </is>
      </c>
      <c r="G31" t="inlineStr">
        <is>
          <t>3305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SES</t>
        </is>
      </c>
      <c r="B32" t="inlineStr">
        <is>
          <t>Execução de sistemas</t>
        </is>
      </c>
      <c r="C32" t="inlineStr">
        <is>
          <t>125/2016</t>
        </is>
      </c>
      <c r="D32" t="inlineStr">
        <is>
          <t>96575</t>
        </is>
      </c>
      <c r="E32" t="inlineStr">
        <is>
          <t>02/2017</t>
        </is>
      </c>
      <c r="F32" t="inlineStr">
        <is>
          <t>112.899,15</t>
        </is>
      </c>
      <c r="G32" t="inlineStr">
        <is>
          <t>3303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SES</t>
        </is>
      </c>
      <c r="B33" t="inlineStr">
        <is>
          <t>Hospedagem de Sistemas</t>
        </is>
      </c>
      <c r="C33" t="inlineStr">
        <is>
          <t>248/2016</t>
        </is>
      </c>
      <c r="D33" t="inlineStr">
        <is>
          <t>96887</t>
        </is>
      </c>
      <c r="E33" t="inlineStr">
        <is>
          <t>03/2017</t>
        </is>
      </c>
      <c r="F33" t="inlineStr">
        <is>
          <t>58.301,64</t>
        </is>
      </c>
      <c r="G33" t="inlineStr">
        <is>
          <t>3271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SES</t>
        </is>
      </c>
      <c r="B34" t="inlineStr">
        <is>
          <t>Execução de sistemas</t>
        </is>
      </c>
      <c r="C34" t="inlineStr">
        <is>
          <t>125/2016</t>
        </is>
      </c>
      <c r="D34" t="inlineStr">
        <is>
          <t>96953</t>
        </is>
      </c>
      <c r="E34" t="inlineStr">
        <is>
          <t>03/2017</t>
        </is>
      </c>
      <c r="F34" t="inlineStr">
        <is>
          <t>116.763,54</t>
        </is>
      </c>
      <c r="G34" t="inlineStr">
        <is>
          <t>3271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SES</t>
        </is>
      </c>
      <c r="B35" t="inlineStr">
        <is>
          <t>Consultoria em informática</t>
        </is>
      </c>
      <c r="C35" t="inlineStr">
        <is>
          <t>248/2016</t>
        </is>
      </c>
      <c r="D35" t="inlineStr">
        <is>
          <t>96888</t>
        </is>
      </c>
      <c r="E35" t="inlineStr">
        <is>
          <t>03/2017</t>
        </is>
      </c>
      <c r="F35" t="inlineStr">
        <is>
          <t>38.949,96</t>
        </is>
      </c>
      <c r="G35" t="inlineStr">
        <is>
          <t>3271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SES</t>
        </is>
      </c>
      <c r="B36" t="inlineStr">
        <is>
          <t>Manutenção Evolutiva de Sistemas</t>
        </is>
      </c>
      <c r="C36" t="inlineStr">
        <is>
          <t>248/2016</t>
        </is>
      </c>
      <c r="D36" t="inlineStr">
        <is>
          <t>96886</t>
        </is>
      </c>
      <c r="E36" t="inlineStr">
        <is>
          <t>03/2017</t>
        </is>
      </c>
      <c r="F36" t="inlineStr">
        <is>
          <t>56.764,21</t>
        </is>
      </c>
      <c r="G36" t="inlineStr">
        <is>
          <t>3271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SES</t>
        </is>
      </c>
      <c r="B37" t="inlineStr">
        <is>
          <t>Execução de sistemas</t>
        </is>
      </c>
      <c r="C37" t="inlineStr">
        <is>
          <t>125/2016</t>
        </is>
      </c>
      <c r="D37" t="inlineStr">
        <is>
          <t>97372</t>
        </is>
      </c>
      <c r="E37" t="inlineStr">
        <is>
          <t>04/2017</t>
        </is>
      </c>
      <c r="F37" t="inlineStr">
        <is>
          <t>87.978,20</t>
        </is>
      </c>
      <c r="G37" t="inlineStr">
        <is>
          <t>3242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SES</t>
        </is>
      </c>
      <c r="B38" t="inlineStr">
        <is>
          <t>Consultoria em informática</t>
        </is>
      </c>
      <c r="C38" t="inlineStr">
        <is>
          <t>248/2016</t>
        </is>
      </c>
      <c r="D38" t="inlineStr">
        <is>
          <t>97369</t>
        </is>
      </c>
      <c r="E38" t="inlineStr">
        <is>
          <t>04/2017</t>
        </is>
      </c>
      <c r="F38" t="inlineStr">
        <is>
          <t>38.949,96</t>
        </is>
      </c>
      <c r="G38" t="inlineStr">
        <is>
          <t>3242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SES</t>
        </is>
      </c>
      <c r="B39" t="inlineStr">
        <is>
          <t>Execução de sistemas</t>
        </is>
      </c>
      <c r="C39" t="inlineStr">
        <is>
          <t>125/2016</t>
        </is>
      </c>
      <c r="D39" t="inlineStr">
        <is>
          <t>97373</t>
        </is>
      </c>
      <c r="E39" t="inlineStr">
        <is>
          <t>04/2017</t>
        </is>
      </c>
      <c r="F39" t="inlineStr">
        <is>
          <t>22.699,51</t>
        </is>
      </c>
      <c r="G39" t="inlineStr">
        <is>
          <t>3242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SES</t>
        </is>
      </c>
      <c r="B40" t="inlineStr">
        <is>
          <t>Hospedagem de Sistemas</t>
        </is>
      </c>
      <c r="C40" t="inlineStr">
        <is>
          <t>248/2016</t>
        </is>
      </c>
      <c r="D40" t="inlineStr">
        <is>
          <t>97370</t>
        </is>
      </c>
      <c r="E40" t="inlineStr">
        <is>
          <t>04/2017</t>
        </is>
      </c>
      <c r="F40" t="inlineStr">
        <is>
          <t>58.301,64</t>
        </is>
      </c>
      <c r="G40" t="inlineStr">
        <is>
          <t>3242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SES</t>
        </is>
      </c>
      <c r="B41" t="inlineStr">
        <is>
          <t>Manutenção Evolutiva de Sistemas</t>
        </is>
      </c>
      <c r="C41" t="inlineStr">
        <is>
          <t>248/2016</t>
        </is>
      </c>
      <c r="D41" t="inlineStr">
        <is>
          <t>97371</t>
        </is>
      </c>
      <c r="E41" t="inlineStr">
        <is>
          <t>04/2017</t>
        </is>
      </c>
      <c r="F41" t="inlineStr">
        <is>
          <t>56.764,21</t>
        </is>
      </c>
      <c r="G41" t="inlineStr">
        <is>
          <t>3242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SES</t>
        </is>
      </c>
      <c r="B42" t="inlineStr">
        <is>
          <t>Execução de sistemas</t>
        </is>
      </c>
      <c r="C42" t="inlineStr">
        <is>
          <t>125/2016</t>
        </is>
      </c>
      <c r="D42" t="inlineStr">
        <is>
          <t>97942</t>
        </is>
      </c>
      <c r="E42" t="inlineStr">
        <is>
          <t>05/2017</t>
        </is>
      </c>
      <c r="F42" t="inlineStr">
        <is>
          <t>73.266,06</t>
        </is>
      </c>
      <c r="G42" t="inlineStr">
        <is>
          <t>3209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SES</t>
        </is>
      </c>
      <c r="B43" t="inlineStr">
        <is>
          <t>Manutenção Evolutiva de Sistemas</t>
        </is>
      </c>
      <c r="C43" t="inlineStr">
        <is>
          <t>248/2016</t>
        </is>
      </c>
      <c r="D43" t="inlineStr">
        <is>
          <t>97943</t>
        </is>
      </c>
      <c r="E43" t="inlineStr">
        <is>
          <t>05/2017</t>
        </is>
      </c>
      <c r="F43" t="inlineStr">
        <is>
          <t>56.764,21</t>
        </is>
      </c>
      <c r="G43" t="inlineStr">
        <is>
          <t>3209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SES</t>
        </is>
      </c>
      <c r="B44" t="inlineStr">
        <is>
          <t>Hospedagem de Sistemas</t>
        </is>
      </c>
      <c r="C44" t="inlineStr">
        <is>
          <t>248/2016</t>
        </is>
      </c>
      <c r="D44" t="inlineStr">
        <is>
          <t>97944</t>
        </is>
      </c>
      <c r="E44" t="inlineStr">
        <is>
          <t>05/2017</t>
        </is>
      </c>
      <c r="F44" t="inlineStr">
        <is>
          <t>58.301,64</t>
        </is>
      </c>
      <c r="G44" t="inlineStr">
        <is>
          <t>3209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SES</t>
        </is>
      </c>
      <c r="B45" t="inlineStr">
        <is>
          <t>Consultoria em informática</t>
        </is>
      </c>
      <c r="C45" t="inlineStr">
        <is>
          <t>248/2016</t>
        </is>
      </c>
      <c r="D45" t="inlineStr">
        <is>
          <t>97945</t>
        </is>
      </c>
      <c r="E45" t="inlineStr">
        <is>
          <t>05/2017</t>
        </is>
      </c>
      <c r="F45" t="inlineStr">
        <is>
          <t>38.949,96</t>
        </is>
      </c>
      <c r="G45" t="inlineStr">
        <is>
          <t>3209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SES</t>
        </is>
      </c>
      <c r="B46" t="inlineStr">
        <is>
          <t>Serviços de Firewall</t>
        </is>
      </c>
      <c r="C46" t="inlineStr">
        <is>
          <t>002/2015</t>
        </is>
      </c>
      <c r="D46" t="inlineStr">
        <is>
          <t>98320</t>
        </is>
      </c>
      <c r="E46" t="inlineStr">
        <is>
          <t>06/2017</t>
        </is>
      </c>
      <c r="F46" t="inlineStr">
        <is>
          <t>22.858,60</t>
        </is>
      </c>
      <c r="G46" t="inlineStr">
        <is>
          <t>3180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SES</t>
        </is>
      </c>
      <c r="B47" t="inlineStr">
        <is>
          <t>Acesso Gerenciado à Rede Mundial</t>
        </is>
      </c>
      <c r="C47" t="inlineStr">
        <is>
          <t>002/2015</t>
        </is>
      </c>
      <c r="D47" t="inlineStr">
        <is>
          <t>98321</t>
        </is>
      </c>
      <c r="E47" t="inlineStr">
        <is>
          <t>06/2017</t>
        </is>
      </c>
      <c r="F47" t="inlineStr">
        <is>
          <t>120.187,00</t>
        </is>
      </c>
      <c r="G47" t="inlineStr">
        <is>
          <t>3180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SES</t>
        </is>
      </c>
      <c r="B48" t="inlineStr">
        <is>
          <t>Fornecimento de circuito de transmissão de dados</t>
        </is>
      </c>
      <c r="C48" t="inlineStr">
        <is>
          <t>002/2015</t>
        </is>
      </c>
      <c r="D48" t="inlineStr">
        <is>
          <t>98319</t>
        </is>
      </c>
      <c r="E48" t="inlineStr">
        <is>
          <t>06/2017</t>
        </is>
      </c>
      <c r="F48" t="inlineStr">
        <is>
          <t>142.812,78</t>
        </is>
      </c>
      <c r="G48" t="inlineStr">
        <is>
          <t>3180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SES</t>
        </is>
      </c>
      <c r="B49" t="inlineStr">
        <is>
          <t>Acesso Gerenciado à Rede Mundial</t>
        </is>
      </c>
      <c r="C49" t="inlineStr">
        <is>
          <t>002/2015</t>
        </is>
      </c>
      <c r="D49" t="inlineStr">
        <is>
          <t>98811</t>
        </is>
      </c>
      <c r="E49" t="inlineStr">
        <is>
          <t>07/2017</t>
        </is>
      </c>
      <c r="F49" t="inlineStr">
        <is>
          <t>84.130,90</t>
        </is>
      </c>
      <c r="G49" t="inlineStr">
        <is>
          <t>3149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SES</t>
        </is>
      </c>
      <c r="B50" t="inlineStr">
        <is>
          <t>Serviços de Firewall</t>
        </is>
      </c>
      <c r="C50" t="inlineStr">
        <is>
          <t>002/2015</t>
        </is>
      </c>
      <c r="D50" t="inlineStr">
        <is>
          <t>98746</t>
        </is>
      </c>
      <c r="E50" t="inlineStr">
        <is>
          <t>07/2017</t>
        </is>
      </c>
      <c r="F50" t="inlineStr">
        <is>
          <t>22.858,60</t>
        </is>
      </c>
      <c r="G50" t="inlineStr">
        <is>
          <t>3149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SES</t>
        </is>
      </c>
      <c r="B51" t="inlineStr">
        <is>
          <t>Fornecimento de circuito de transmissão de dados</t>
        </is>
      </c>
      <c r="C51" t="inlineStr">
        <is>
          <t>002/2015</t>
        </is>
      </c>
      <c r="D51" t="inlineStr">
        <is>
          <t>98745</t>
        </is>
      </c>
      <c r="E51" t="inlineStr">
        <is>
          <t>07/2017</t>
        </is>
      </c>
      <c r="F51" t="inlineStr">
        <is>
          <t>142.812,78</t>
        </is>
      </c>
      <c r="G51" t="inlineStr">
        <is>
          <t>3149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SES</t>
        </is>
      </c>
      <c r="B52" t="inlineStr">
        <is>
          <t>Fornecimento de circuito de transmissão de dados</t>
        </is>
      </c>
      <c r="C52" t="inlineStr">
        <is>
          <t>002/2015</t>
        </is>
      </c>
      <c r="D52" t="inlineStr">
        <is>
          <t>99269</t>
        </is>
      </c>
      <c r="E52" t="inlineStr">
        <is>
          <t>08/2017</t>
        </is>
      </c>
      <c r="F52" t="inlineStr">
        <is>
          <t>142.812,78</t>
        </is>
      </c>
      <c r="G52" t="inlineStr">
        <is>
          <t>3121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SES</t>
        </is>
      </c>
      <c r="B53" t="inlineStr">
        <is>
          <t>Serviços de Firewall</t>
        </is>
      </c>
      <c r="C53" t="inlineStr">
        <is>
          <t>002/2015</t>
        </is>
      </c>
      <c r="D53" t="inlineStr">
        <is>
          <t>99270</t>
        </is>
      </c>
      <c r="E53" t="inlineStr">
        <is>
          <t>08/2017</t>
        </is>
      </c>
      <c r="F53" t="inlineStr">
        <is>
          <t>22.858,60</t>
        </is>
      </c>
      <c r="G53" t="inlineStr">
        <is>
          <t>3121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SES</t>
        </is>
      </c>
      <c r="B54" t="inlineStr">
        <is>
          <t>Acesso Gerenciado à Rede Mundial</t>
        </is>
      </c>
      <c r="C54" t="inlineStr">
        <is>
          <t>002/2015</t>
        </is>
      </c>
      <c r="D54" t="inlineStr">
        <is>
          <t>99271</t>
        </is>
      </c>
      <c r="E54" t="inlineStr">
        <is>
          <t>08/2017</t>
        </is>
      </c>
      <c r="F54" t="inlineStr">
        <is>
          <t>84.130,90</t>
        </is>
      </c>
      <c r="G54" t="inlineStr">
        <is>
          <t>3121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SES</t>
        </is>
      </c>
      <c r="B55" t="inlineStr">
        <is>
          <t>Fornecimento de circuito de transmissão de dados</t>
        </is>
      </c>
      <c r="C55" t="inlineStr">
        <is>
          <t>002/2015</t>
        </is>
      </c>
      <c r="D55" t="inlineStr">
        <is>
          <t>99701</t>
        </is>
      </c>
      <c r="E55" t="inlineStr">
        <is>
          <t>09/2017</t>
        </is>
      </c>
      <c r="F55" t="inlineStr">
        <is>
          <t>142.812,78</t>
        </is>
      </c>
      <c r="G55" t="inlineStr">
        <is>
          <t>3090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SES</t>
        </is>
      </c>
      <c r="B56" t="inlineStr">
        <is>
          <t>Acesso Gerenciado à Rede Mundial</t>
        </is>
      </c>
      <c r="C56" t="inlineStr">
        <is>
          <t>002/2015</t>
        </is>
      </c>
      <c r="D56" t="inlineStr">
        <is>
          <t>99703</t>
        </is>
      </c>
      <c r="E56" t="inlineStr">
        <is>
          <t>09/2017</t>
        </is>
      </c>
      <c r="F56" t="inlineStr">
        <is>
          <t>84.130,90</t>
        </is>
      </c>
      <c r="G56" t="inlineStr">
        <is>
          <t>3090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SES</t>
        </is>
      </c>
      <c r="B57" t="inlineStr">
        <is>
          <t>Serviços de Firewall</t>
        </is>
      </c>
      <c r="C57" t="inlineStr">
        <is>
          <t>002/2015</t>
        </is>
      </c>
      <c r="D57" t="inlineStr">
        <is>
          <t>99702</t>
        </is>
      </c>
      <c r="E57" t="inlineStr">
        <is>
          <t>09/2017</t>
        </is>
      </c>
      <c r="F57" t="inlineStr">
        <is>
          <t>22.858,60</t>
        </is>
      </c>
      <c r="G57" t="inlineStr">
        <is>
          <t>3090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SES</t>
        </is>
      </c>
      <c r="B58" t="inlineStr">
        <is>
          <t>Fornecimento de circuito de transmissão de dados</t>
        </is>
      </c>
      <c r="C58" t="inlineStr">
        <is>
          <t>002/2015</t>
        </is>
      </c>
      <c r="D58" t="inlineStr">
        <is>
          <t>100205</t>
        </is>
      </c>
      <c r="E58" t="inlineStr">
        <is>
          <t>10/2017</t>
        </is>
      </c>
      <c r="F58" t="inlineStr">
        <is>
          <t>142.812,78</t>
        </is>
      </c>
      <c r="G58" t="inlineStr">
        <is>
          <t>3058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SES</t>
        </is>
      </c>
      <c r="B59" t="inlineStr">
        <is>
          <t>Serviços de Firewall</t>
        </is>
      </c>
      <c r="C59" t="inlineStr">
        <is>
          <t>002/2015</t>
        </is>
      </c>
      <c r="D59" t="inlineStr">
        <is>
          <t>100206</t>
        </is>
      </c>
      <c r="E59" t="inlineStr">
        <is>
          <t>10/2017</t>
        </is>
      </c>
      <c r="F59" t="inlineStr">
        <is>
          <t>22.858,60</t>
        </is>
      </c>
      <c r="G59" t="inlineStr">
        <is>
          <t>3058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  <row r="60">
      <c r="A60" t="inlineStr">
        <is>
          <t>SES</t>
        </is>
      </c>
      <c r="B60" t="inlineStr">
        <is>
          <t>Acesso Gerenciado à Rede Mundial</t>
        </is>
      </c>
      <c r="C60" t="inlineStr">
        <is>
          <t>002/2015</t>
        </is>
      </c>
      <c r="D60" t="inlineStr">
        <is>
          <t>100207</t>
        </is>
      </c>
      <c r="E60" t="inlineStr">
        <is>
          <t>10/2017</t>
        </is>
      </c>
      <c r="F60" t="inlineStr">
        <is>
          <t>84.130,90</t>
        </is>
      </c>
      <c r="G60" t="inlineStr">
        <is>
          <t>3058 dias</t>
        </is>
      </c>
      <c r="H60" t="inlineStr">
        <is>
          <t>0,00</t>
        </is>
      </c>
      <c r="I60" t="inlineStr">
        <is>
          <t>Suspenso</t>
        </is>
      </c>
      <c r="J60" t="inlineStr">
        <is>
          <t>TramitarReverter Status</t>
        </is>
      </c>
    </row>
    <row r="61">
      <c r="A61" t="inlineStr">
        <is>
          <t>SES</t>
        </is>
      </c>
      <c r="B61" t="inlineStr">
        <is>
          <t>Fornecimento de circuito de transmissão de dados</t>
        </is>
      </c>
      <c r="C61" t="inlineStr">
        <is>
          <t>002/2015</t>
        </is>
      </c>
      <c r="D61" t="inlineStr">
        <is>
          <t>100919</t>
        </is>
      </c>
      <c r="E61" t="inlineStr">
        <is>
          <t>12/2017</t>
        </is>
      </c>
      <c r="F61" t="inlineStr">
        <is>
          <t>142.812,78</t>
        </is>
      </c>
      <c r="G61" t="inlineStr">
        <is>
          <t>3019 dias</t>
        </is>
      </c>
      <c r="H61" t="inlineStr">
        <is>
          <t>0,00</t>
        </is>
      </c>
      <c r="I61" t="inlineStr">
        <is>
          <t>Suspenso</t>
        </is>
      </c>
      <c r="J61" t="inlineStr">
        <is>
          <t>TramitarReverter Status</t>
        </is>
      </c>
    </row>
    <row r="62">
      <c r="A62" t="inlineStr">
        <is>
          <t>SES</t>
        </is>
      </c>
      <c r="B62" t="inlineStr">
        <is>
          <t>Serviços de Firewall</t>
        </is>
      </c>
      <c r="C62" t="inlineStr">
        <is>
          <t>002/2015</t>
        </is>
      </c>
      <c r="D62" t="inlineStr">
        <is>
          <t>100920</t>
        </is>
      </c>
      <c r="E62" t="inlineStr">
        <is>
          <t>12/2017</t>
        </is>
      </c>
      <c r="F62" t="inlineStr">
        <is>
          <t>22.858,60</t>
        </is>
      </c>
      <c r="G62" t="inlineStr">
        <is>
          <t>3019 dias</t>
        </is>
      </c>
      <c r="H62" t="inlineStr">
        <is>
          <t>0,00</t>
        </is>
      </c>
      <c r="I62" t="inlineStr">
        <is>
          <t>Suspenso</t>
        </is>
      </c>
      <c r="J62" t="inlineStr">
        <is>
          <t>TramitarReverter Status</t>
        </is>
      </c>
    </row>
    <row r="63">
      <c r="A63" t="inlineStr">
        <is>
          <t>SES</t>
        </is>
      </c>
      <c r="B63" t="inlineStr">
        <is>
          <t>Acesso Gerenciado à Rede Mundial</t>
        </is>
      </c>
      <c r="C63" t="inlineStr">
        <is>
          <t>002/2015</t>
        </is>
      </c>
      <c r="D63" t="inlineStr">
        <is>
          <t>100921</t>
        </is>
      </c>
      <c r="E63" t="inlineStr">
        <is>
          <t>12/2017</t>
        </is>
      </c>
      <c r="F63" t="inlineStr">
        <is>
          <t>120.187,00</t>
        </is>
      </c>
      <c r="G63" t="inlineStr">
        <is>
          <t>3019 dias</t>
        </is>
      </c>
      <c r="H63" t="inlineStr">
        <is>
          <t>0,00</t>
        </is>
      </c>
      <c r="I63" t="inlineStr">
        <is>
          <t>Suspenso</t>
        </is>
      </c>
      <c r="J63" t="inlineStr">
        <is>
          <t>TramitarReverter Status</t>
        </is>
      </c>
    </row>
    <row r="64">
      <c r="A64" t="inlineStr">
        <is>
          <t>SES</t>
        </is>
      </c>
      <c r="B64" t="inlineStr">
        <is>
          <t>Execução de sistemas</t>
        </is>
      </c>
      <c r="C64" t="inlineStr">
        <is>
          <t>254/2017</t>
        </is>
      </c>
      <c r="D64" t="inlineStr">
        <is>
          <t>102109</t>
        </is>
      </c>
      <c r="E64" t="inlineStr">
        <is>
          <t>02/2018</t>
        </is>
      </c>
      <c r="F64" t="inlineStr">
        <is>
          <t>81.848,55</t>
        </is>
      </c>
      <c r="G64" t="inlineStr">
        <is>
          <t>2934 dias</t>
        </is>
      </c>
      <c r="H64" t="inlineStr">
        <is>
          <t>0,00</t>
        </is>
      </c>
      <c r="I64" t="inlineStr">
        <is>
          <t>Suspenso</t>
        </is>
      </c>
      <c r="J64" t="inlineStr">
        <is>
          <t>TramitarReverter Status</t>
        </is>
      </c>
    </row>
    <row r="65">
      <c r="A65" t="inlineStr">
        <is>
          <t>SES</t>
        </is>
      </c>
      <c r="B65" t="inlineStr">
        <is>
          <t>Gestão de Segurança e Ativos de Rede</t>
        </is>
      </c>
      <c r="C65" t="inlineStr">
        <is>
          <t>074/2021</t>
        </is>
      </c>
      <c r="D65" t="inlineStr">
        <is>
          <t>122703</t>
        </is>
      </c>
      <c r="E65" t="inlineStr">
        <is>
          <t>01/2021</t>
        </is>
      </c>
      <c r="F65" t="inlineStr">
        <is>
          <t>29.001,42</t>
        </is>
      </c>
      <c r="G65" t="inlineStr">
        <is>
          <t>1839 dias</t>
        </is>
      </c>
      <c r="H65" t="inlineStr">
        <is>
          <t>0,00</t>
        </is>
      </c>
      <c r="I65" t="inlineStr">
        <is>
          <t>Suspenso</t>
        </is>
      </c>
      <c r="J65" t="inlineStr">
        <is>
          <t>TramitarReverter Status</t>
        </is>
      </c>
    </row>
    <row r="66">
      <c r="A66" t="inlineStr">
        <is>
          <t>SES</t>
        </is>
      </c>
      <c r="B66" t="inlineStr">
        <is>
          <t>Fornecimento de circuito de transmissão de dados</t>
        </is>
      </c>
      <c r="C66" t="inlineStr">
        <is>
          <t>074/2021</t>
        </is>
      </c>
      <c r="D66" t="inlineStr">
        <is>
          <t>126765</t>
        </is>
      </c>
      <c r="E66" t="inlineStr">
        <is>
          <t>08/2021</t>
        </is>
      </c>
      <c r="F66" t="inlineStr">
        <is>
          <t>139.166,79</t>
        </is>
      </c>
      <c r="G66" t="inlineStr">
        <is>
          <t>1654 dias</t>
        </is>
      </c>
      <c r="H66" t="inlineStr">
        <is>
          <t>0,00</t>
        </is>
      </c>
      <c r="I66" t="inlineStr">
        <is>
          <t>Suspenso</t>
        </is>
      </c>
      <c r="J66" t="inlineStr">
        <is>
          <t>TramitarReverter Status</t>
        </is>
      </c>
    </row>
    <row r="67">
      <c r="A67" t="inlineStr">
        <is>
          <t>SES</t>
        </is>
      </c>
      <c r="B67" t="inlineStr">
        <is>
          <t>Acesso Gerenciado à Rede Mundial</t>
        </is>
      </c>
      <c r="C67" t="inlineStr">
        <is>
          <t>074/2021</t>
        </is>
      </c>
      <c r="D67" t="inlineStr">
        <is>
          <t>126766</t>
        </is>
      </c>
      <c r="E67" t="inlineStr">
        <is>
          <t>08/2021</t>
        </is>
      </c>
      <c r="F67" t="inlineStr">
        <is>
          <t>48.637,50</t>
        </is>
      </c>
      <c r="G67" t="inlineStr">
        <is>
          <t>1654 dias</t>
        </is>
      </c>
      <c r="H67" t="inlineStr">
        <is>
          <t>0,00</t>
        </is>
      </c>
      <c r="I67" t="inlineStr">
        <is>
          <t>Suspenso</t>
        </is>
      </c>
      <c r="J67" t="inlineStr">
        <is>
          <t>TramitarReverter Status</t>
        </is>
      </c>
    </row>
    <row r="68">
      <c r="A68" t="inlineStr">
        <is>
          <t>SES</t>
        </is>
      </c>
      <c r="B68" t="inlineStr">
        <is>
          <t>Gestão de Segurança e Ativos de Rede</t>
        </is>
      </c>
      <c r="C68" t="inlineStr">
        <is>
          <t>074/2021</t>
        </is>
      </c>
      <c r="D68" t="inlineStr">
        <is>
          <t>126768</t>
        </is>
      </c>
      <c r="E68" t="inlineStr">
        <is>
          <t>08/2021</t>
        </is>
      </c>
      <c r="F68" t="inlineStr">
        <is>
          <t>32.215,44</t>
        </is>
      </c>
      <c r="G68" t="inlineStr">
        <is>
          <t>1654 dias</t>
        </is>
      </c>
      <c r="H68" t="inlineStr">
        <is>
          <t>0,00</t>
        </is>
      </c>
      <c r="I68" t="inlineStr">
        <is>
          <t>Suspenso</t>
        </is>
      </c>
      <c r="J68" t="inlineStr">
        <is>
          <t>TramitarReverter Status</t>
        </is>
      </c>
    </row>
    <row r="69">
      <c r="A69" t="inlineStr">
        <is>
          <t>SES</t>
        </is>
      </c>
      <c r="B69" t="inlineStr">
        <is>
          <t>Execução de sistemas</t>
        </is>
      </c>
      <c r="C69" t="inlineStr">
        <is>
          <t>054/2018</t>
        </is>
      </c>
      <c r="D69" t="inlineStr">
        <is>
          <t>127265</t>
        </is>
      </c>
      <c r="E69" t="inlineStr">
        <is>
          <t>09/2021</t>
        </is>
      </c>
      <c r="F69" t="inlineStr">
        <is>
          <t>76.101,17</t>
        </is>
      </c>
      <c r="G69" t="inlineStr">
        <is>
          <t>1630 dias</t>
        </is>
      </c>
      <c r="H69" t="inlineStr">
        <is>
          <t>0,00</t>
        </is>
      </c>
      <c r="I69" t="inlineStr">
        <is>
          <t>Suspenso</t>
        </is>
      </c>
      <c r="J69" t="inlineStr">
        <is>
          <t>TramitarReverter Status</t>
        </is>
      </c>
    </row>
    <row r="70">
      <c r="A70" t="inlineStr">
        <is>
          <t>SES</t>
        </is>
      </c>
      <c r="B70" t="inlineStr">
        <is>
          <t>Execução de sistemas</t>
        </is>
      </c>
      <c r="C70" t="inlineStr">
        <is>
          <t>054/2018</t>
        </is>
      </c>
      <c r="D70" t="inlineStr">
        <is>
          <t>137096</t>
        </is>
      </c>
      <c r="E70" t="inlineStr">
        <is>
          <t>11/2022</t>
        </is>
      </c>
      <c r="F70" t="inlineStr">
        <is>
          <t>146.012,35</t>
        </is>
      </c>
      <c r="G70" t="inlineStr">
        <is>
          <t>1204 dias</t>
        </is>
      </c>
      <c r="H70" t="inlineStr">
        <is>
          <t>0,00</t>
        </is>
      </c>
      <c r="I70" t="inlineStr">
        <is>
          <t>Suspenso</t>
        </is>
      </c>
      <c r="J70" t="inlineStr">
        <is>
          <t>TramitarReverter Status</t>
        </is>
      </c>
    </row>
    <row r="71">
      <c r="A71" t="inlineStr">
        <is>
          <t>SES</t>
        </is>
      </c>
      <c r="B71" t="inlineStr">
        <is>
          <t>Consultoria em Armazém de Informações</t>
        </is>
      </c>
      <c r="C71" t="inlineStr">
        <is>
          <t>018/2021</t>
        </is>
      </c>
      <c r="D71" t="inlineStr">
        <is>
          <t>160750</t>
        </is>
      </c>
      <c r="E71" t="inlineStr">
        <is>
          <t>06/2025</t>
        </is>
      </c>
      <c r="F71" t="inlineStr">
        <is>
          <t>49.109,27</t>
        </is>
      </c>
      <c r="G71" t="inlineStr">
        <is>
          <t>259 dias</t>
        </is>
      </c>
      <c r="H71" t="inlineStr">
        <is>
          <t>0,00</t>
        </is>
      </c>
      <c r="I71" t="inlineStr">
        <is>
          <t>Suspenso</t>
        </is>
      </c>
      <c r="J71" t="inlineStr">
        <is>
          <t>TramitarReverter Status</t>
        </is>
      </c>
    </row>
    <row r="72">
      <c r="A72" t="inlineStr">
        <is>
          <t>SES</t>
        </is>
      </c>
      <c r="B72" t="inlineStr">
        <is>
          <t>Desenvolvimento de Sistemas de Informação</t>
        </is>
      </c>
      <c r="C72" t="inlineStr">
        <is>
          <t>018/2021</t>
        </is>
      </c>
      <c r="D72" t="inlineStr">
        <is>
          <t>160661</t>
        </is>
      </c>
      <c r="E72" t="inlineStr">
        <is>
          <t>06/2025</t>
        </is>
      </c>
      <c r="F72" t="inlineStr">
        <is>
          <t>39.664,57</t>
        </is>
      </c>
      <c r="G72" t="inlineStr">
        <is>
          <t>259 dias</t>
        </is>
      </c>
      <c r="H72" t="inlineStr">
        <is>
          <t>0,00</t>
        </is>
      </c>
      <c r="I72" t="inlineStr">
        <is>
          <t>Suspenso</t>
        </is>
      </c>
      <c r="J72" t="inlineStr">
        <is>
          <t>TramitarReverter Status</t>
        </is>
      </c>
    </row>
    <row r="73">
      <c r="A73" t="inlineStr">
        <is>
          <t>SES</t>
        </is>
      </c>
      <c r="B73" t="inlineStr">
        <is>
          <t>Produção de Armazém de Informações</t>
        </is>
      </c>
      <c r="C73" t="inlineStr">
        <is>
          <t>018/2021</t>
        </is>
      </c>
      <c r="D73" t="inlineStr">
        <is>
          <t>160614</t>
        </is>
      </c>
      <c r="E73" t="inlineStr">
        <is>
          <t>06/2025</t>
        </is>
      </c>
      <c r="F73" t="inlineStr">
        <is>
          <t>9.051,64</t>
        </is>
      </c>
      <c r="G73" t="inlineStr">
        <is>
          <t>259 dias</t>
        </is>
      </c>
      <c r="H73" t="inlineStr">
        <is>
          <t>0,00</t>
        </is>
      </c>
      <c r="I73" t="inlineStr">
        <is>
          <t>Suspenso</t>
        </is>
      </c>
      <c r="J73" t="inlineStr">
        <is>
          <t>TramitarReverter Status</t>
        </is>
      </c>
    </row>
    <row r="74">
      <c r="A74" t="inlineStr">
        <is>
          <t>SES</t>
        </is>
      </c>
      <c r="B74" t="inlineStr">
        <is>
          <t>Acesso a Armazém de Informações</t>
        </is>
      </c>
      <c r="C74" t="inlineStr">
        <is>
          <t>018/2021</t>
        </is>
      </c>
      <c r="D74" t="inlineStr">
        <is>
          <t>160615</t>
        </is>
      </c>
      <c r="E74" t="inlineStr">
        <is>
          <t>06/2025</t>
        </is>
      </c>
      <c r="F74" t="inlineStr">
        <is>
          <t>4.856,38</t>
        </is>
      </c>
      <c r="G74" t="inlineStr">
        <is>
          <t>259 dias</t>
        </is>
      </c>
      <c r="H74" t="inlineStr">
        <is>
          <t>0,00</t>
        </is>
      </c>
      <c r="I74" t="inlineStr">
        <is>
          <t>Suspenso</t>
        </is>
      </c>
      <c r="J74" t="inlineStr">
        <is>
          <t>TramitarReverter Status</t>
        </is>
      </c>
    </row>
    <row r="75">
      <c r="A75" t="inlineStr">
        <is>
          <t>SES</t>
        </is>
      </c>
      <c r="B75" t="inlineStr">
        <is>
          <t>Assessoria Técnica em Informática</t>
        </is>
      </c>
      <c r="C75" t="inlineStr">
        <is>
          <t>018/2021</t>
        </is>
      </c>
      <c r="D75" t="inlineStr">
        <is>
          <t>160660</t>
        </is>
      </c>
      <c r="E75" t="inlineStr">
        <is>
          <t>06/2025</t>
        </is>
      </c>
      <c r="F75" t="inlineStr">
        <is>
          <t>10.838,74</t>
        </is>
      </c>
      <c r="G75" t="inlineStr">
        <is>
          <t>259 dias</t>
        </is>
      </c>
      <c r="H75" t="inlineStr">
        <is>
          <t>0,00</t>
        </is>
      </c>
      <c r="I75" t="inlineStr">
        <is>
          <t>Suspenso</t>
        </is>
      </c>
      <c r="J75" t="inlineStr">
        <is>
          <t>TramitarReverter Status</t>
        </is>
      </c>
    </row>
    <row r="76">
      <c r="A76" t="inlineStr">
        <is>
          <t>SES</t>
        </is>
      </c>
      <c r="B76" t="inlineStr">
        <is>
          <t>Modelagem de processos de negócios</t>
        </is>
      </c>
      <c r="C76" t="inlineStr">
        <is>
          <t>018/2021</t>
        </is>
      </c>
      <c r="D76" t="inlineStr">
        <is>
          <t>160659</t>
        </is>
      </c>
      <c r="E76" t="inlineStr">
        <is>
          <t>06/2025</t>
        </is>
      </c>
      <c r="F76" t="inlineStr">
        <is>
          <t>4.264,40</t>
        </is>
      </c>
      <c r="G76" t="inlineStr">
        <is>
          <t>259 dias</t>
        </is>
      </c>
      <c r="H76" t="inlineStr">
        <is>
          <t>0,00</t>
        </is>
      </c>
      <c r="I76" t="inlineStr">
        <is>
          <t>Suspenso</t>
        </is>
      </c>
      <c r="J76" t="inlineStr">
        <is>
          <t>TramitarReverter Status</t>
        </is>
      </c>
    </row>
    <row r="77">
      <c r="A77" t="inlineStr">
        <is>
          <t>SES</t>
        </is>
      </c>
      <c r="B77" t="inlineStr">
        <is>
          <t>Assessoria Técnica em Informática</t>
        </is>
      </c>
      <c r="C77" t="inlineStr">
        <is>
          <t>018/2021</t>
        </is>
      </c>
      <c r="D77" t="inlineStr">
        <is>
          <t>160784</t>
        </is>
      </c>
      <c r="E77" t="inlineStr">
        <is>
          <t>06/2025</t>
        </is>
      </c>
      <c r="F77" t="inlineStr">
        <is>
          <t>14.061,84</t>
        </is>
      </c>
      <c r="G77" t="inlineStr">
        <is>
          <t>255 dias</t>
        </is>
      </c>
      <c r="H77" t="inlineStr">
        <is>
          <t>0,00</t>
        </is>
      </c>
      <c r="I77" t="inlineStr">
        <is>
          <t>Suspenso</t>
        </is>
      </c>
      <c r="J77" t="inlineStr">
        <is>
          <t>TramitarReverter Status</t>
        </is>
      </c>
    </row>
    <row r="78">
      <c r="A78" t="inlineStr">
        <is>
          <t>SES</t>
        </is>
      </c>
      <c r="B78" t="inlineStr">
        <is>
          <t>Modelagem de processos de negócios</t>
        </is>
      </c>
      <c r="C78" t="inlineStr">
        <is>
          <t>018/2021</t>
        </is>
      </c>
      <c r="D78" t="inlineStr">
        <is>
          <t>160783</t>
        </is>
      </c>
      <c r="E78" t="inlineStr">
        <is>
          <t>06/2025</t>
        </is>
      </c>
      <c r="F78" t="inlineStr">
        <is>
          <t>5.316,29</t>
        </is>
      </c>
      <c r="G78" t="inlineStr">
        <is>
          <t>255 dias</t>
        </is>
      </c>
      <c r="H78" t="inlineStr">
        <is>
          <t>0,00</t>
        </is>
      </c>
      <c r="I78" t="inlineStr">
        <is>
          <t>Suspenso</t>
        </is>
      </c>
      <c r="J78" t="inlineStr">
        <is>
          <t>TramitarReverter Status</t>
        </is>
      </c>
    </row>
    <row r="79">
      <c r="A79" t="inlineStr">
        <is>
          <t>SES</t>
        </is>
      </c>
      <c r="B79" t="inlineStr">
        <is>
          <t>Consultoria em Armazém de Informações</t>
        </is>
      </c>
      <c r="C79" t="inlineStr">
        <is>
          <t>018/2021</t>
        </is>
      </c>
      <c r="D79" t="inlineStr">
        <is>
          <t>160785</t>
        </is>
      </c>
      <c r="E79" t="inlineStr">
        <is>
          <t>06/2025</t>
        </is>
      </c>
      <c r="F79" t="inlineStr">
        <is>
          <t>64.656,67</t>
        </is>
      </c>
      <c r="G79" t="inlineStr">
        <is>
          <t>255 dias</t>
        </is>
      </c>
      <c r="H79" t="inlineStr">
        <is>
          <t>0,00</t>
        </is>
      </c>
      <c r="I79" t="inlineStr">
        <is>
          <t>Suspenso</t>
        </is>
      </c>
      <c r="J79" t="inlineStr">
        <is>
          <t>TramitarReverter Status</t>
        </is>
      </c>
    </row>
    <row r="80">
      <c r="A80" t="inlineStr">
        <is>
          <t>SES</t>
        </is>
      </c>
      <c r="B80" t="inlineStr">
        <is>
          <t>Produção de Armazém de Informações</t>
        </is>
      </c>
      <c r="C80" t="inlineStr">
        <is>
          <t>018/2021</t>
        </is>
      </c>
      <c r="D80" t="inlineStr">
        <is>
          <t>160781</t>
        </is>
      </c>
      <c r="E80" t="inlineStr">
        <is>
          <t>06/2025</t>
        </is>
      </c>
      <c r="F80" t="inlineStr">
        <is>
          <t>10.836,76</t>
        </is>
      </c>
      <c r="G80" t="inlineStr">
        <is>
          <t>255 dias</t>
        </is>
      </c>
      <c r="H80" t="inlineStr">
        <is>
          <t>0,00</t>
        </is>
      </c>
      <c r="I80" t="inlineStr">
        <is>
          <t>Suspenso</t>
        </is>
      </c>
      <c r="J80" t="inlineStr">
        <is>
          <t>TramitarReverter Status</t>
        </is>
      </c>
    </row>
    <row r="81">
      <c r="A81" t="inlineStr">
        <is>
          <t>SES</t>
        </is>
      </c>
      <c r="B81" t="inlineStr">
        <is>
          <t>Desenvolvimento de Sistemas de Informação</t>
        </is>
      </c>
      <c r="C81" t="inlineStr">
        <is>
          <t>018/2021</t>
        </is>
      </c>
      <c r="D81" t="inlineStr">
        <is>
          <t>160786</t>
        </is>
      </c>
      <c r="E81" t="inlineStr">
        <is>
          <t>06/2025</t>
        </is>
      </c>
      <c r="F81" t="inlineStr">
        <is>
          <t>51.804,33</t>
        </is>
      </c>
      <c r="G81" t="inlineStr">
        <is>
          <t>255 dias</t>
        </is>
      </c>
      <c r="H81" t="inlineStr">
        <is>
          <t>0,00</t>
        </is>
      </c>
      <c r="I81" t="inlineStr">
        <is>
          <t>Suspenso</t>
        </is>
      </c>
      <c r="J81" t="inlineStr">
        <is>
          <t>TramitarReverter Status</t>
        </is>
      </c>
    </row>
    <row r="82">
      <c r="A82" t="inlineStr">
        <is>
          <t>SES</t>
        </is>
      </c>
      <c r="B82" t="inlineStr">
        <is>
          <t>Acesso a Armazém de Informações</t>
        </is>
      </c>
      <c r="C82" t="inlineStr">
        <is>
          <t>018/2021</t>
        </is>
      </c>
      <c r="D82" t="inlineStr">
        <is>
          <t>160780</t>
        </is>
      </c>
      <c r="E82" t="inlineStr">
        <is>
          <t>06/2025</t>
        </is>
      </c>
      <c r="F82" t="inlineStr">
        <is>
          <t>6.350,64</t>
        </is>
      </c>
      <c r="G82" t="inlineStr">
        <is>
          <t>255 dias</t>
        </is>
      </c>
      <c r="H82" t="inlineStr">
        <is>
          <t>0,00</t>
        </is>
      </c>
      <c r="I82" t="inlineStr">
        <is>
          <t>Suspenso</t>
        </is>
      </c>
      <c r="J82" t="inlineStr">
        <is>
          <t>TramitarReverter Status</t>
        </is>
      </c>
    </row>
    <row r="83">
      <c r="A83" t="inlineStr">
        <is>
          <t>SES</t>
        </is>
      </c>
      <c r="B83" t="inlineStr">
        <is>
          <t>Produção de Armazém de Informações</t>
        </is>
      </c>
      <c r="C83" t="inlineStr">
        <is>
          <t>018/2021</t>
        </is>
      </c>
      <c r="D83" t="inlineStr">
        <is>
          <t>161475</t>
        </is>
      </c>
      <c r="E83" t="inlineStr">
        <is>
          <t>07/2025</t>
        </is>
      </c>
      <c r="F83" t="inlineStr">
        <is>
          <t>20.888,40</t>
        </is>
      </c>
      <c r="G83" t="inlineStr">
        <is>
          <t>225 dias</t>
        </is>
      </c>
      <c r="H83" t="inlineStr">
        <is>
          <t>0,00</t>
        </is>
      </c>
      <c r="I83" t="inlineStr">
        <is>
          <t>Suspenso</t>
        </is>
      </c>
      <c r="J83" t="inlineStr">
        <is>
          <t>TramitarReverter Status</t>
        </is>
      </c>
    </row>
    <row r="84">
      <c r="A84" t="inlineStr">
        <is>
          <t>SES</t>
        </is>
      </c>
      <c r="B84" t="inlineStr">
        <is>
          <t>Assessoria Técnica em Informática</t>
        </is>
      </c>
      <c r="C84" t="inlineStr">
        <is>
          <t>018/2021</t>
        </is>
      </c>
      <c r="D84" t="inlineStr">
        <is>
          <t>161532</t>
        </is>
      </c>
      <c r="E84" t="inlineStr">
        <is>
          <t>07/2025</t>
        </is>
      </c>
      <c r="F84" t="inlineStr">
        <is>
          <t>185.399,50</t>
        </is>
      </c>
      <c r="G84" t="inlineStr">
        <is>
          <t>225 dias</t>
        </is>
      </c>
      <c r="H84" t="inlineStr">
        <is>
          <t>0,00</t>
        </is>
      </c>
      <c r="I84" t="inlineStr">
        <is>
          <t>Suspenso</t>
        </is>
      </c>
      <c r="J84" t="inlineStr">
        <is>
          <t>TramitarReverter Status</t>
        </is>
      </c>
    </row>
    <row r="85">
      <c r="A85" t="inlineStr">
        <is>
          <t>SES</t>
        </is>
      </c>
      <c r="B85" t="inlineStr">
        <is>
          <t>Consultoria em Armazém de Informações</t>
        </is>
      </c>
      <c r="C85" t="inlineStr">
        <is>
          <t>018/2021</t>
        </is>
      </c>
      <c r="D85" t="inlineStr">
        <is>
          <t>161533</t>
        </is>
      </c>
      <c r="E85" t="inlineStr">
        <is>
          <t>07/2025</t>
        </is>
      </c>
      <c r="F85" t="inlineStr">
        <is>
          <t>114.100,00</t>
        </is>
      </c>
      <c r="G85" t="inlineStr">
        <is>
          <t>225 dias</t>
        </is>
      </c>
      <c r="H85" t="inlineStr">
        <is>
          <t>0,00</t>
        </is>
      </c>
      <c r="I85" t="inlineStr">
        <is>
          <t>Suspenso</t>
        </is>
      </c>
      <c r="J85" t="inlineStr">
        <is>
          <t>TramitarReverter Status</t>
        </is>
      </c>
    </row>
    <row r="86">
      <c r="A86" t="inlineStr">
        <is>
          <t>SES</t>
        </is>
      </c>
      <c r="B86" t="inlineStr">
        <is>
          <t>Desenvolvimento de Sistemas de Informação</t>
        </is>
      </c>
      <c r="C86" t="inlineStr">
        <is>
          <t>018/2021</t>
        </is>
      </c>
      <c r="D86" t="inlineStr">
        <is>
          <t>161534</t>
        </is>
      </c>
      <c r="E86" t="inlineStr">
        <is>
          <t>07/2025</t>
        </is>
      </c>
      <c r="F86" t="inlineStr">
        <is>
          <t>151.234,43</t>
        </is>
      </c>
      <c r="G86" t="inlineStr">
        <is>
          <t>225 dias</t>
        </is>
      </c>
      <c r="H86" t="inlineStr">
        <is>
          <t>0,00</t>
        </is>
      </c>
      <c r="I86" t="inlineStr">
        <is>
          <t>Suspenso</t>
        </is>
      </c>
      <c r="J86" t="inlineStr">
        <is>
          <t>TramitarReverter Status</t>
        </is>
      </c>
    </row>
    <row r="87">
      <c r="A87" t="inlineStr">
        <is>
          <t>SES</t>
        </is>
      </c>
      <c r="B87" t="inlineStr">
        <is>
          <t>Modelagem de processos de negócios</t>
        </is>
      </c>
      <c r="C87" t="inlineStr">
        <is>
          <t>018/2021</t>
        </is>
      </c>
      <c r="D87" t="inlineStr">
        <is>
          <t>161531</t>
        </is>
      </c>
      <c r="E87" t="inlineStr">
        <is>
          <t>07/2025</t>
        </is>
      </c>
      <c r="F87" t="inlineStr">
        <is>
          <t>42.644,00</t>
        </is>
      </c>
      <c r="G87" t="inlineStr">
        <is>
          <t>225 dias</t>
        </is>
      </c>
      <c r="H87" t="inlineStr">
        <is>
          <t>0,00</t>
        </is>
      </c>
      <c r="I87" t="inlineStr">
        <is>
          <t>Suspenso</t>
        </is>
      </c>
      <c r="J87" t="inlineStr">
        <is>
          <t>TramitarReverter Status</t>
        </is>
      </c>
    </row>
    <row r="88">
      <c r="A88" t="inlineStr">
        <is>
          <t>SES</t>
        </is>
      </c>
      <c r="B88" t="inlineStr">
        <is>
          <t>Acesso a Armazém de Informações</t>
        </is>
      </c>
      <c r="C88" t="inlineStr">
        <is>
          <t>018/2021</t>
        </is>
      </c>
      <c r="D88" t="inlineStr">
        <is>
          <t>161474</t>
        </is>
      </c>
      <c r="E88" t="inlineStr">
        <is>
          <t>07/2025</t>
        </is>
      </c>
      <c r="F88" t="inlineStr">
        <is>
          <t>11.207,02</t>
        </is>
      </c>
      <c r="G88" t="inlineStr">
        <is>
          <t>225 dias</t>
        </is>
      </c>
      <c r="H88" t="inlineStr">
        <is>
          <t>0,00</t>
        </is>
      </c>
      <c r="I88" t="inlineStr">
        <is>
          <t>Suspenso</t>
        </is>
      </c>
      <c r="J88" t="inlineStr">
        <is>
          <t>TramitarReverter Status</t>
        </is>
      </c>
    </row>
    <row r="89">
      <c r="A89" t="inlineStr">
        <is>
          <t>SES</t>
        </is>
      </c>
      <c r="B89" t="inlineStr">
        <is>
          <t>Acesso Gerenciado à Rede Mundial</t>
        </is>
      </c>
      <c r="C89" t="inlineStr">
        <is>
          <t>021/2021</t>
        </is>
      </c>
      <c r="D89" t="inlineStr">
        <is>
          <t>161932</t>
        </is>
      </c>
      <c r="E89" t="inlineStr">
        <is>
          <t>08/2025</t>
        </is>
      </c>
      <c r="F89" t="inlineStr">
        <is>
          <t>30.546,53</t>
        </is>
      </c>
      <c r="G89" t="inlineStr">
        <is>
          <t>203 dias</t>
        </is>
      </c>
      <c r="H89" t="inlineStr">
        <is>
          <t>0,00</t>
        </is>
      </c>
      <c r="I89" t="inlineStr">
        <is>
          <t>Suspenso</t>
        </is>
      </c>
      <c r="J89" t="inlineStr">
        <is>
          <t>TramitarReverter Status</t>
        </is>
      </c>
    </row>
    <row r="90">
      <c r="A90" t="inlineStr">
        <is>
          <t>SES</t>
        </is>
      </c>
      <c r="B90" t="inlineStr">
        <is>
          <t>Acesso à MetroMao</t>
        </is>
      </c>
      <c r="C90" t="inlineStr">
        <is>
          <t>021/2021</t>
        </is>
      </c>
      <c r="D90" t="inlineStr">
        <is>
          <t>161934</t>
        </is>
      </c>
      <c r="E90" t="inlineStr">
        <is>
          <t>08/2025</t>
        </is>
      </c>
      <c r="F90" t="inlineStr">
        <is>
          <t>10.194,40</t>
        </is>
      </c>
      <c r="G90" t="inlineStr">
        <is>
          <t>203 dias</t>
        </is>
      </c>
      <c r="H90" t="inlineStr">
        <is>
          <t>0,00</t>
        </is>
      </c>
      <c r="I90" t="inlineStr">
        <is>
          <t>Suspenso</t>
        </is>
      </c>
      <c r="J90" t="inlineStr">
        <is>
          <t>TramitarReverter Status</t>
        </is>
      </c>
    </row>
    <row r="91">
      <c r="A91" t="inlineStr">
        <is>
          <t>SES</t>
        </is>
      </c>
      <c r="B91" t="inlineStr">
        <is>
          <t>Gestão de Segurança e Ativos de Rede</t>
        </is>
      </c>
      <c r="C91" t="inlineStr">
        <is>
          <t>021/2021</t>
        </is>
      </c>
      <c r="D91" t="inlineStr">
        <is>
          <t>161931</t>
        </is>
      </c>
      <c r="E91" t="inlineStr">
        <is>
          <t>08/2025</t>
        </is>
      </c>
      <c r="F91" t="inlineStr">
        <is>
          <t>10.984,61</t>
        </is>
      </c>
      <c r="G91" t="inlineStr">
        <is>
          <t>203 dias</t>
        </is>
      </c>
      <c r="H91" t="inlineStr">
        <is>
          <t>0,00</t>
        </is>
      </c>
      <c r="I91" t="inlineStr">
        <is>
          <t>Suspenso</t>
        </is>
      </c>
      <c r="J91" t="inlineStr">
        <is>
          <t>TramitarReverter Status</t>
        </is>
      </c>
    </row>
    <row r="92">
      <c r="A92" t="inlineStr">
        <is>
          <t>SES</t>
        </is>
      </c>
      <c r="B92" t="inlineStr">
        <is>
          <t>Fornecimento de circuito de transmissão de dados</t>
        </is>
      </c>
      <c r="C92" t="inlineStr">
        <is>
          <t>021/2021</t>
        </is>
      </c>
      <c r="D92" t="inlineStr">
        <is>
          <t>161933</t>
        </is>
      </c>
      <c r="E92" t="inlineStr">
        <is>
          <t>08/2025</t>
        </is>
      </c>
      <c r="F92" t="inlineStr">
        <is>
          <t>54.229,44</t>
        </is>
      </c>
      <c r="G92" t="inlineStr">
        <is>
          <t>203 dias</t>
        </is>
      </c>
      <c r="H92" t="inlineStr">
        <is>
          <t>0,00</t>
        </is>
      </c>
      <c r="I92" t="inlineStr">
        <is>
          <t>Suspenso</t>
        </is>
      </c>
      <c r="J92" t="inlineStr">
        <is>
          <t>TramitarReverter Status</t>
        </is>
      </c>
    </row>
    <row r="93">
      <c r="A93" t="inlineStr">
        <is>
          <t>SES</t>
        </is>
      </c>
      <c r="B93" t="inlineStr">
        <is>
          <t>Licença de uso de VPN</t>
        </is>
      </c>
      <c r="C93" t="inlineStr">
        <is>
          <t>005/2021</t>
        </is>
      </c>
      <c r="D93" t="inlineStr">
        <is>
          <t>162228</t>
        </is>
      </c>
      <c r="E93" t="inlineStr">
        <is>
          <t>08/2025</t>
        </is>
      </c>
      <c r="F93" t="inlineStr">
        <is>
          <t>121,96</t>
        </is>
      </c>
      <c r="G93" t="inlineStr">
        <is>
          <t>199 dias</t>
        </is>
      </c>
      <c r="H93" t="inlineStr">
        <is>
          <t>0,00</t>
        </is>
      </c>
      <c r="I93" t="inlineStr">
        <is>
          <t>Suspenso</t>
        </is>
      </c>
      <c r="J93" t="inlineStr">
        <is>
          <t>TramitarReverter Status</t>
        </is>
      </c>
    </row>
    <row r="94">
      <c r="A94" t="inlineStr">
        <is>
          <t>SES</t>
        </is>
      </c>
      <c r="B94" t="inlineStr">
        <is>
          <t>Hospedagem de Servidores</t>
        </is>
      </c>
      <c r="C94" t="inlineStr">
        <is>
          <t>005/2021</t>
        </is>
      </c>
      <c r="D94" t="inlineStr">
        <is>
          <t>162227</t>
        </is>
      </c>
      <c r="E94" t="inlineStr">
        <is>
          <t>08/2025</t>
        </is>
      </c>
      <c r="F94" t="inlineStr">
        <is>
          <t>35.990,46</t>
        </is>
      </c>
      <c r="G94" t="inlineStr">
        <is>
          <t>199 dias</t>
        </is>
      </c>
      <c r="H94" t="inlineStr">
        <is>
          <t>0,00</t>
        </is>
      </c>
      <c r="I94" t="inlineStr">
        <is>
          <t>Suspenso</t>
        </is>
      </c>
      <c r="J94" t="inlineStr">
        <is>
          <t>TramitarReverter Status</t>
        </is>
      </c>
    </row>
    <row r="95">
      <c r="A95" t="inlineStr">
        <is>
          <t>SES</t>
        </is>
      </c>
      <c r="B95" t="inlineStr">
        <is>
          <t>Fornecimento de circuito de transmissão de dados</t>
        </is>
      </c>
      <c r="C95" t="inlineStr">
        <is>
          <t>021/2021</t>
        </is>
      </c>
      <c r="D95" t="inlineStr">
        <is>
          <t>163045</t>
        </is>
      </c>
      <c r="E95" t="inlineStr">
        <is>
          <t>09/2025</t>
        </is>
      </c>
      <c r="F95" t="inlineStr">
        <is>
          <t>160.469,55</t>
        </is>
      </c>
      <c r="G95" t="inlineStr">
        <is>
          <t>168 dias</t>
        </is>
      </c>
      <c r="H95" t="inlineStr">
        <is>
          <t>0,00</t>
        </is>
      </c>
      <c r="I95" t="inlineStr">
        <is>
          <t>Suspenso</t>
        </is>
      </c>
      <c r="J95" t="inlineStr">
        <is>
          <t>TramitarReverter Status</t>
        </is>
      </c>
    </row>
    <row r="96">
      <c r="A96" t="inlineStr">
        <is>
          <t>SES</t>
        </is>
      </c>
      <c r="B96" t="inlineStr">
        <is>
          <t>Hospedagem de Servidores</t>
        </is>
      </c>
      <c r="C96" t="inlineStr">
        <is>
          <t>005/2021</t>
        </is>
      </c>
      <c r="D96" t="inlineStr">
        <is>
          <t>163041</t>
        </is>
      </c>
      <c r="E96" t="inlineStr">
        <is>
          <t>09/2025</t>
        </is>
      </c>
      <c r="F96" t="inlineStr">
        <is>
          <t>35.990,46</t>
        </is>
      </c>
      <c r="G96" t="inlineStr">
        <is>
          <t>168 dias</t>
        </is>
      </c>
      <c r="H96" t="inlineStr">
        <is>
          <t>0,00</t>
        </is>
      </c>
      <c r="I96" t="inlineStr">
        <is>
          <t>Suspenso</t>
        </is>
      </c>
      <c r="J96" t="inlineStr">
        <is>
          <t>TramitarReverter Status</t>
        </is>
      </c>
    </row>
    <row r="97">
      <c r="A97" t="inlineStr">
        <is>
          <t>SES</t>
        </is>
      </c>
      <c r="B97" t="inlineStr">
        <is>
          <t>Licença de uso de VPN</t>
        </is>
      </c>
      <c r="C97" t="inlineStr">
        <is>
          <t>005/2021</t>
        </is>
      </c>
      <c r="D97" t="inlineStr">
        <is>
          <t>163042</t>
        </is>
      </c>
      <c r="E97" t="inlineStr">
        <is>
          <t>09/2025</t>
        </is>
      </c>
      <c r="F97" t="inlineStr">
        <is>
          <t>121,96</t>
        </is>
      </c>
      <c r="G97" t="inlineStr">
        <is>
          <t>168 dias</t>
        </is>
      </c>
      <c r="H97" t="inlineStr">
        <is>
          <t>0,00</t>
        </is>
      </c>
      <c r="I97" t="inlineStr">
        <is>
          <t>Suspenso</t>
        </is>
      </c>
      <c r="J97" t="inlineStr">
        <is>
          <t>TramitarReverter Status</t>
        </is>
      </c>
    </row>
    <row r="98">
      <c r="A98" t="inlineStr">
        <is>
          <t>SES</t>
        </is>
      </c>
      <c r="B98" t="inlineStr">
        <is>
          <t>Gestão de Segurança e Ativos de Rede</t>
        </is>
      </c>
      <c r="C98" t="inlineStr">
        <is>
          <t>021/2021</t>
        </is>
      </c>
      <c r="D98" t="inlineStr">
        <is>
          <t>163048</t>
        </is>
      </c>
      <c r="E98" t="inlineStr">
        <is>
          <t>09/2025</t>
        </is>
      </c>
      <c r="F98" t="inlineStr">
        <is>
          <t>32.504,44</t>
        </is>
      </c>
      <c r="G98" t="inlineStr">
        <is>
          <t>168 dias</t>
        </is>
      </c>
      <c r="H98" t="inlineStr">
        <is>
          <t>0,00</t>
        </is>
      </c>
      <c r="I98" t="inlineStr">
        <is>
          <t>Suspenso</t>
        </is>
      </c>
      <c r="J98" t="inlineStr">
        <is>
          <t>TramitarReverter Status</t>
        </is>
      </c>
    </row>
    <row r="99">
      <c r="A99" t="inlineStr">
        <is>
          <t>SES</t>
        </is>
      </c>
      <c r="B99" t="inlineStr">
        <is>
          <t>Acesso Gerenciado à Rede Mundial</t>
        </is>
      </c>
      <c r="C99" t="inlineStr">
        <is>
          <t>021/2021</t>
        </is>
      </c>
      <c r="D99" t="inlineStr">
        <is>
          <t>163046</t>
        </is>
      </c>
      <c r="E99" t="inlineStr">
        <is>
          <t>09/2025</t>
        </is>
      </c>
      <c r="F99" t="inlineStr">
        <is>
          <t>66.565,09</t>
        </is>
      </c>
      <c r="G99" t="inlineStr">
        <is>
          <t>168 dias</t>
        </is>
      </c>
      <c r="H99" t="inlineStr">
        <is>
          <t>0,00</t>
        </is>
      </c>
      <c r="I99" t="inlineStr">
        <is>
          <t>Suspenso</t>
        </is>
      </c>
      <c r="J99" t="inlineStr">
        <is>
          <t>TramitarReverter Status</t>
        </is>
      </c>
    </row>
    <row r="100">
      <c r="A100" t="inlineStr">
        <is>
          <t>SES</t>
        </is>
      </c>
      <c r="B100" t="inlineStr">
        <is>
          <t>Acesso à MetroMao</t>
        </is>
      </c>
      <c r="C100" t="inlineStr">
        <is>
          <t>021/2021</t>
        </is>
      </c>
      <c r="D100" t="inlineStr">
        <is>
          <t>163047</t>
        </is>
      </c>
      <c r="E100" t="inlineStr">
        <is>
          <t>09/2025</t>
        </is>
      </c>
      <c r="F100" t="inlineStr">
        <is>
          <t>30.166,20</t>
        </is>
      </c>
      <c r="G100" t="inlineStr">
        <is>
          <t>168 dias</t>
        </is>
      </c>
      <c r="H100" t="inlineStr">
        <is>
          <t>0,00</t>
        </is>
      </c>
      <c r="I100" t="inlineStr">
        <is>
          <t>Suspenso</t>
        </is>
      </c>
      <c r="J100" t="inlineStr">
        <is>
          <t>TramitarReverter Status</t>
        </is>
      </c>
    </row>
    <row r="101">
      <c r="A101" t="inlineStr">
        <is>
          <t>SES</t>
        </is>
      </c>
      <c r="B101" t="inlineStr">
        <is>
          <t>Desenvolvimento de Sistemas de Informação</t>
        </is>
      </c>
      <c r="C101" t="inlineStr">
        <is>
          <t>018/2021</t>
        </is>
      </c>
      <c r="D101" t="inlineStr">
        <is>
          <t>163137</t>
        </is>
      </c>
      <c r="E101" t="inlineStr">
        <is>
          <t>09/2025</t>
        </is>
      </c>
      <c r="F101" t="inlineStr">
        <is>
          <t>69.466,03</t>
        </is>
      </c>
      <c r="G101" t="inlineStr">
        <is>
          <t>163 dias</t>
        </is>
      </c>
      <c r="H101" t="inlineStr">
        <is>
          <t>0,00</t>
        </is>
      </c>
      <c r="I101" t="inlineStr">
        <is>
          <t>Suspenso</t>
        </is>
      </c>
      <c r="J101" t="inlineStr">
        <is>
          <t>TramitarReverter Status</t>
        </is>
      </c>
    </row>
    <row r="102">
      <c r="A102" t="inlineStr">
        <is>
          <t>SES</t>
        </is>
      </c>
      <c r="B102" t="inlineStr">
        <is>
          <t>Modelagem de processos de negócios</t>
        </is>
      </c>
      <c r="C102" t="inlineStr">
        <is>
          <t>018/2021</t>
        </is>
      </c>
      <c r="D102" t="inlineStr">
        <is>
          <t>163134</t>
        </is>
      </c>
      <c r="E102" t="inlineStr">
        <is>
          <t>09/2025</t>
        </is>
      </c>
      <c r="F102" t="inlineStr">
        <is>
          <t>9.381,68</t>
        </is>
      </c>
      <c r="G102" t="inlineStr">
        <is>
          <t>163 dias</t>
        </is>
      </c>
      <c r="H102" t="inlineStr">
        <is>
          <t>0,00</t>
        </is>
      </c>
      <c r="I102" t="inlineStr">
        <is>
          <t>Suspenso</t>
        </is>
      </c>
      <c r="J102" t="inlineStr">
        <is>
          <t>TramitarReverter Status</t>
        </is>
      </c>
    </row>
    <row r="103">
      <c r="A103" t="inlineStr">
        <is>
          <t>SES</t>
        </is>
      </c>
      <c r="B103" t="inlineStr">
        <is>
          <t>Assessoria Técnica em Informática</t>
        </is>
      </c>
      <c r="C103" t="inlineStr">
        <is>
          <t>018/2021</t>
        </is>
      </c>
      <c r="D103" t="inlineStr">
        <is>
          <t>163135</t>
        </is>
      </c>
      <c r="E103" t="inlineStr">
        <is>
          <t>09/2025</t>
        </is>
      </c>
      <c r="F103" t="inlineStr">
        <is>
          <t>29.478,52</t>
        </is>
      </c>
      <c r="G103" t="inlineStr">
        <is>
          <t>163 dias</t>
        </is>
      </c>
      <c r="H103" t="inlineStr">
        <is>
          <t>0,00</t>
        </is>
      </c>
      <c r="I103" t="inlineStr">
        <is>
          <t>Suspenso</t>
        </is>
      </c>
      <c r="J103" t="inlineStr">
        <is>
          <t>TramitarReverter Status</t>
        </is>
      </c>
    </row>
    <row r="104">
      <c r="A104" t="inlineStr">
        <is>
          <t>SES</t>
        </is>
      </c>
      <c r="B104" t="inlineStr">
        <is>
          <t>Produção de Armazém de Informações</t>
        </is>
      </c>
      <c r="C104" t="inlineStr">
        <is>
          <t>018/2021</t>
        </is>
      </c>
      <c r="D104" t="inlineStr">
        <is>
          <t>163044</t>
        </is>
      </c>
      <c r="E104" t="inlineStr">
        <is>
          <t>09/2025</t>
        </is>
      </c>
      <c r="F104" t="inlineStr">
        <is>
          <t>20.888,40</t>
        </is>
      </c>
      <c r="G104" t="inlineStr">
        <is>
          <t>163 dias</t>
        </is>
      </c>
      <c r="H104" t="inlineStr">
        <is>
          <t>0,00</t>
        </is>
      </c>
      <c r="I104" t="inlineStr">
        <is>
          <t>Suspenso</t>
        </is>
      </c>
      <c r="J104" t="inlineStr">
        <is>
          <t>TramitarReverter Status</t>
        </is>
      </c>
    </row>
    <row r="105">
      <c r="A105" t="inlineStr">
        <is>
          <t>SES</t>
        </is>
      </c>
      <c r="B105" t="inlineStr">
        <is>
          <t>Consultoria em Armazém de Informações</t>
        </is>
      </c>
      <c r="C105" t="inlineStr">
        <is>
          <t>018/2021</t>
        </is>
      </c>
      <c r="D105" t="inlineStr">
        <is>
          <t>163136</t>
        </is>
      </c>
      <c r="E105" t="inlineStr">
        <is>
          <t>09/2025</t>
        </is>
      </c>
      <c r="F105" t="inlineStr">
        <is>
          <t>114.100,00</t>
        </is>
      </c>
      <c r="G105" t="inlineStr">
        <is>
          <t>163 dias</t>
        </is>
      </c>
      <c r="H105" t="inlineStr">
        <is>
          <t>0,00</t>
        </is>
      </c>
      <c r="I105" t="inlineStr">
        <is>
          <t>Suspenso</t>
        </is>
      </c>
      <c r="J105" t="inlineStr">
        <is>
          <t>TramitarReverter Status</t>
        </is>
      </c>
    </row>
    <row r="106">
      <c r="A106" t="inlineStr">
        <is>
          <t>SES</t>
        </is>
      </c>
      <c r="B106" t="inlineStr">
        <is>
          <t>Acesso a Armazém de Informações</t>
        </is>
      </c>
      <c r="C106" t="inlineStr">
        <is>
          <t>018/2021</t>
        </is>
      </c>
      <c r="D106" t="inlineStr">
        <is>
          <t>163043</t>
        </is>
      </c>
      <c r="E106" t="inlineStr">
        <is>
          <t>09/2025</t>
        </is>
      </c>
      <c r="F106" t="inlineStr">
        <is>
          <t>11.207,02</t>
        </is>
      </c>
      <c r="G106" t="inlineStr">
        <is>
          <t>163 dias</t>
        </is>
      </c>
      <c r="H106" t="inlineStr">
        <is>
          <t>0,00</t>
        </is>
      </c>
      <c r="I106" t="inlineStr">
        <is>
          <t>Suspenso</t>
        </is>
      </c>
      <c r="J106" t="inlineStr">
        <is>
          <t>TramitarReverter Status</t>
        </is>
      </c>
    </row>
    <row r="107">
      <c r="A107" t="inlineStr">
        <is>
          <t>SES</t>
        </is>
      </c>
      <c r="B107" t="inlineStr">
        <is>
          <t>Acesso Gerenciado à Rede Mundial</t>
        </is>
      </c>
      <c r="C107" t="inlineStr">
        <is>
          <t>021/2021</t>
        </is>
      </c>
      <c r="D107" t="inlineStr">
        <is>
          <t>163915</t>
        </is>
      </c>
      <c r="E107" t="inlineStr">
        <is>
          <t>10/2025</t>
        </is>
      </c>
      <c r="F107" t="inlineStr">
        <is>
          <t>66.565,09</t>
        </is>
      </c>
      <c r="G107" t="inlineStr">
        <is>
          <t>134 dias</t>
        </is>
      </c>
      <c r="H107" t="inlineStr">
        <is>
          <t>0,00</t>
        </is>
      </c>
      <c r="I107" t="inlineStr">
        <is>
          <t>Suspenso</t>
        </is>
      </c>
      <c r="J107" t="inlineStr">
        <is>
          <t>TramitarReverter Status</t>
        </is>
      </c>
    </row>
    <row r="108">
      <c r="A108" t="inlineStr">
        <is>
          <t>SES</t>
        </is>
      </c>
      <c r="B108" t="inlineStr">
        <is>
          <t>Acesso à MetroMao</t>
        </is>
      </c>
      <c r="C108" t="inlineStr">
        <is>
          <t>021/2021</t>
        </is>
      </c>
      <c r="D108" t="inlineStr">
        <is>
          <t>163916</t>
        </is>
      </c>
      <c r="E108" t="inlineStr">
        <is>
          <t>10/2025</t>
        </is>
      </c>
      <c r="F108" t="inlineStr">
        <is>
          <t>30.166,20</t>
        </is>
      </c>
      <c r="G108" t="inlineStr">
        <is>
          <t>134 dias</t>
        </is>
      </c>
      <c r="H108" t="inlineStr">
        <is>
          <t>0,00</t>
        </is>
      </c>
      <c r="I108" t="inlineStr">
        <is>
          <t>Suspenso</t>
        </is>
      </c>
      <c r="J108" t="inlineStr">
        <is>
          <t>TramitarReverter Status</t>
        </is>
      </c>
    </row>
    <row r="109">
      <c r="A109" t="inlineStr">
        <is>
          <t>SES</t>
        </is>
      </c>
      <c r="B109" t="inlineStr">
        <is>
          <t>Fornecimento de circuito de transmissão de dados</t>
        </is>
      </c>
      <c r="C109" t="inlineStr">
        <is>
          <t>021/2021</t>
        </is>
      </c>
      <c r="D109" t="inlineStr">
        <is>
          <t>163914</t>
        </is>
      </c>
      <c r="E109" t="inlineStr">
        <is>
          <t>10/2025</t>
        </is>
      </c>
      <c r="F109" t="inlineStr">
        <is>
          <t>160.469,55</t>
        </is>
      </c>
      <c r="G109" t="inlineStr">
        <is>
          <t>134 dias</t>
        </is>
      </c>
      <c r="H109" t="inlineStr">
        <is>
          <t>0,00</t>
        </is>
      </c>
      <c r="I109" t="inlineStr">
        <is>
          <t>Suspenso</t>
        </is>
      </c>
      <c r="J109" t="inlineStr">
        <is>
          <t>TramitarReverter Status</t>
        </is>
      </c>
    </row>
    <row r="110">
      <c r="A110" t="inlineStr">
        <is>
          <t>SES</t>
        </is>
      </c>
      <c r="B110" t="inlineStr">
        <is>
          <t>Gestão de Segurança e Ativos de Rede</t>
        </is>
      </c>
      <c r="C110" t="inlineStr">
        <is>
          <t>021/2021</t>
        </is>
      </c>
      <c r="D110" t="inlineStr">
        <is>
          <t>163917</t>
        </is>
      </c>
      <c r="E110" t="inlineStr">
        <is>
          <t>10/2025</t>
        </is>
      </c>
      <c r="F110" t="inlineStr">
        <is>
          <t>32.504,44</t>
        </is>
      </c>
      <c r="G110" t="inlineStr">
        <is>
          <t>134 dias</t>
        </is>
      </c>
      <c r="H110" t="inlineStr">
        <is>
          <t>0,00</t>
        </is>
      </c>
      <c r="I110" t="inlineStr">
        <is>
          <t>Suspenso</t>
        </is>
      </c>
      <c r="J110" t="inlineStr">
        <is>
          <t>TramitarReverter Status</t>
        </is>
      </c>
    </row>
    <row r="111">
      <c r="A111" t="inlineStr">
        <is>
          <t>SES</t>
        </is>
      </c>
      <c r="B111" t="inlineStr">
        <is>
          <t>Licença de uso de VPN</t>
        </is>
      </c>
      <c r="C111" t="inlineStr">
        <is>
          <t>005/2021</t>
        </is>
      </c>
      <c r="D111" t="inlineStr">
        <is>
          <t>165034</t>
        </is>
      </c>
      <c r="E111" t="inlineStr">
        <is>
          <t>12/2025</t>
        </is>
      </c>
      <c r="F111" t="inlineStr">
        <is>
          <t>121,96</t>
        </is>
      </c>
      <c r="G111" t="inlineStr">
        <is>
          <t>100 dias</t>
        </is>
      </c>
      <c r="H111" t="inlineStr">
        <is>
          <t>0,00</t>
        </is>
      </c>
      <c r="I111" t="inlineStr">
        <is>
          <t>Suspenso</t>
        </is>
      </c>
      <c r="J111" t="inlineStr">
        <is>
          <t>TramitarReverter Status</t>
        </is>
      </c>
    </row>
    <row r="112">
      <c r="A112" t="inlineStr">
        <is>
          <t>SES</t>
        </is>
      </c>
      <c r="B112" t="inlineStr">
        <is>
          <t>Hospedagem de Servidores</t>
        </is>
      </c>
      <c r="C112" t="inlineStr">
        <is>
          <t>005/2021</t>
        </is>
      </c>
      <c r="D112" t="inlineStr">
        <is>
          <t>165033</t>
        </is>
      </c>
      <c r="E112" t="inlineStr">
        <is>
          <t>12/2025</t>
        </is>
      </c>
      <c r="F112" t="inlineStr">
        <is>
          <t>35.990,46</t>
        </is>
      </c>
      <c r="G112" t="inlineStr">
        <is>
          <t>100 dias</t>
        </is>
      </c>
      <c r="H112" t="inlineStr">
        <is>
          <t>0,00</t>
        </is>
      </c>
      <c r="I112" t="inlineStr">
        <is>
          <t>Suspenso</t>
        </is>
      </c>
      <c r="J112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2026-05-07T15:59:48Z</dcterms:created>
  <dcterms:modified xmlns:dcterms="http://purl.org/dc/terms/" xmlns:xsi="http://www.w3.org/2001/XMLSchema-instance" xsi:type="dcterms:W3CDTF">2026-05-07T15:59:48Z</dcterms:modified>
</cp:coreProperties>
</file>